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koopman\Downloads\"/>
    </mc:Choice>
  </mc:AlternateContent>
  <xr:revisionPtr revIDLastSave="0" documentId="8_{47E90F5F-A95E-4FF3-BC5E-6E4E951C2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T General Schedules" sheetId="4" r:id="rId1"/>
    <sheet name="Tabelle1" sheetId="3" state="hidden" r:id="rId2"/>
  </sheets>
  <definedNames>
    <definedName name="_xlnm.Print_Area" localSheetId="0">'VT General Schedules'!$A$1:$AL$247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82" i="4" l="1"/>
  <c r="AF182" i="4"/>
  <c r="AB182" i="4"/>
  <c r="X182" i="4"/>
  <c r="T182" i="4"/>
  <c r="P182" i="4"/>
  <c r="L182" i="4"/>
  <c r="H182" i="4"/>
  <c r="H94" i="4"/>
  <c r="H96" i="4"/>
  <c r="H100" i="4"/>
  <c r="H101" i="4"/>
  <c r="H103" i="4"/>
  <c r="H104" i="4"/>
  <c r="AJ104" i="4" l="1"/>
  <c r="AJ103" i="4"/>
  <c r="AJ101" i="4"/>
  <c r="AJ100" i="4"/>
  <c r="AJ96" i="4"/>
  <c r="AJ94" i="4"/>
  <c r="AF104" i="4"/>
  <c r="AF103" i="4"/>
  <c r="AF101" i="4"/>
  <c r="AF100" i="4"/>
  <c r="AF96" i="4"/>
  <c r="AF94" i="4"/>
  <c r="AB104" i="4"/>
  <c r="AB103" i="4"/>
  <c r="AB101" i="4"/>
  <c r="AB100" i="4"/>
  <c r="AB96" i="4"/>
  <c r="AB94" i="4"/>
  <c r="X104" i="4"/>
  <c r="X103" i="4"/>
  <c r="X101" i="4"/>
  <c r="X100" i="4"/>
  <c r="X96" i="4"/>
  <c r="X94" i="4"/>
  <c r="T104" i="4"/>
  <c r="T103" i="4"/>
  <c r="T101" i="4"/>
  <c r="T100" i="4"/>
  <c r="T96" i="4"/>
  <c r="T94" i="4"/>
  <c r="P104" i="4"/>
  <c r="P103" i="4"/>
  <c r="P101" i="4"/>
  <c r="P100" i="4"/>
  <c r="P96" i="4"/>
  <c r="P94" i="4"/>
  <c r="L104" i="4"/>
  <c r="L103" i="4"/>
  <c r="L101" i="4"/>
  <c r="L100" i="4"/>
  <c r="L96" i="4"/>
  <c r="L94" i="4"/>
  <c r="AJ82" i="4" l="1"/>
  <c r="AF82" i="4"/>
  <c r="AF83" i="4" s="1"/>
  <c r="AB82" i="4"/>
  <c r="X82" i="4"/>
  <c r="T82" i="4"/>
  <c r="P82" i="4"/>
  <c r="L82" i="4"/>
  <c r="H82" i="4"/>
  <c r="H88" i="4" s="1"/>
  <c r="AJ83" i="4" l="1"/>
  <c r="AJ88" i="4"/>
  <c r="AJ89" i="4" s="1"/>
  <c r="AJ84" i="4"/>
  <c r="AJ85" i="4" s="1"/>
  <c r="H84" i="4"/>
  <c r="H85" i="4" s="1"/>
  <c r="H89" i="4"/>
  <c r="L83" i="4"/>
  <c r="L88" i="4"/>
  <c r="L89" i="4" s="1"/>
  <c r="L84" i="4"/>
  <c r="L85" i="4" s="1"/>
  <c r="P83" i="4"/>
  <c r="P88" i="4"/>
  <c r="P89" i="4" s="1"/>
  <c r="P84" i="4"/>
  <c r="P85" i="4" s="1"/>
  <c r="AF88" i="4"/>
  <c r="AF89" i="4" s="1"/>
  <c r="AF84" i="4"/>
  <c r="AF85" i="4" s="1"/>
  <c r="T83" i="4"/>
  <c r="T88" i="4"/>
  <c r="T89" i="4" s="1"/>
  <c r="T84" i="4"/>
  <c r="T85" i="4" s="1"/>
  <c r="X83" i="4"/>
  <c r="X88" i="4"/>
  <c r="X89" i="4" s="1"/>
  <c r="X84" i="4"/>
  <c r="X85" i="4" s="1"/>
  <c r="AB83" i="4"/>
  <c r="AB88" i="4"/>
  <c r="AB89" i="4" s="1"/>
  <c r="AB84" i="4"/>
  <c r="AB85" i="4" s="1"/>
  <c r="H83" i="4"/>
</calcChain>
</file>

<file path=xl/sharedStrings.xml><?xml version="1.0" encoding="utf-8"?>
<sst xmlns="http://schemas.openxmlformats.org/spreadsheetml/2006/main" count="742" uniqueCount="504">
  <si>
    <t>Lfd.Nr.</t>
  </si>
  <si>
    <t>Bauteil</t>
  </si>
  <si>
    <t>Bauabschnitt</t>
  </si>
  <si>
    <t>Achslage</t>
  </si>
  <si>
    <t>Plancode</t>
  </si>
  <si>
    <t>Zeichnungs-Nr.: intern</t>
  </si>
  <si>
    <t>Anlagenart</t>
  </si>
  <si>
    <t>Fabrikat</t>
  </si>
  <si>
    <t>Fabriknummer</t>
  </si>
  <si>
    <t>Steuerung / Gruppe</t>
  </si>
  <si>
    <t>Tragfähigkeit</t>
  </si>
  <si>
    <t>[kg]</t>
  </si>
  <si>
    <t>zulässige Personenzahl</t>
  </si>
  <si>
    <t>[Pers.]</t>
  </si>
  <si>
    <t>Geschwindigkeit</t>
  </si>
  <si>
    <t>[m/s]</t>
  </si>
  <si>
    <t>Beschleunigung</t>
  </si>
  <si>
    <t>[m/s²]</t>
  </si>
  <si>
    <t>Jerk</t>
  </si>
  <si>
    <t>[m/s³]</t>
  </si>
  <si>
    <t>Förderhöhe</t>
  </si>
  <si>
    <t>[m]</t>
  </si>
  <si>
    <t>Haltestellen</t>
  </si>
  <si>
    <t>[Stck.]</t>
  </si>
  <si>
    <t>Anzahl Schachttüren</t>
  </si>
  <si>
    <t>Durchlader</t>
  </si>
  <si>
    <t>[j/n]</t>
  </si>
  <si>
    <t>Über-Eck</t>
  </si>
  <si>
    <t>Kabinenbreite</t>
  </si>
  <si>
    <t>[mm]</t>
  </si>
  <si>
    <t>Kabinentiefe</t>
  </si>
  <si>
    <t>Kabinenhöhe im Lichten</t>
  </si>
  <si>
    <t>Kabinenhöhe Rohkabine</t>
  </si>
  <si>
    <t>Türbreite</t>
  </si>
  <si>
    <t>Türtyp</t>
  </si>
  <si>
    <t>Schachtkopf aktuelle Planung</t>
  </si>
  <si>
    <t>Schachtgrube aktuelle Planung</t>
  </si>
  <si>
    <t>Maschinenraumbreite aktuelle Planung</t>
  </si>
  <si>
    <t>Lage Triebwerk</t>
  </si>
  <si>
    <t>Lage Steuerung / Bedienpaneel</t>
  </si>
  <si>
    <t>[1/h]</t>
  </si>
  <si>
    <t>Antriebsart</t>
  </si>
  <si>
    <t>[%]</t>
  </si>
  <si>
    <t xml:space="preserve">Antriebsleistung </t>
  </si>
  <si>
    <t>[kW]</t>
  </si>
  <si>
    <t>Anschlussleistung</t>
  </si>
  <si>
    <t>[kVA]</t>
  </si>
  <si>
    <t>Nennstrom</t>
  </si>
  <si>
    <t>[A]</t>
  </si>
  <si>
    <t>[-]</t>
  </si>
  <si>
    <t>Energieverbrauch</t>
  </si>
  <si>
    <t>Abwärme Triebwerk</t>
  </si>
  <si>
    <t>Temperatur Triebwerksraum / Schacht</t>
  </si>
  <si>
    <t>[°C]</t>
  </si>
  <si>
    <t>5-40</t>
  </si>
  <si>
    <t>Kraft F1,F2 Fahrkorbschienenstrang</t>
  </si>
  <si>
    <t>[kN]</t>
  </si>
  <si>
    <t>Kraft F3, je Fahrkorbpuffer</t>
  </si>
  <si>
    <t>Gegengwichtsfangvorrichtung</t>
  </si>
  <si>
    <t>Kraft F4, je Gegengewichtsschienenstrang</t>
  </si>
  <si>
    <t>Kraft F5, je Gegengewichtspuffer</t>
  </si>
  <si>
    <t>Kraft F6, statisch Schachttüre</t>
  </si>
  <si>
    <t>Kraft F7, statisch Gegengewicht</t>
  </si>
  <si>
    <t>Kraft F8, statisch Kabine</t>
  </si>
  <si>
    <t>Kraft Fx, Fahrkorbschiene</t>
  </si>
  <si>
    <t>Kraft Fy, Fahrkorbschiene</t>
  </si>
  <si>
    <t>Kraft Fx, Gegengewichtssschiene</t>
  </si>
  <si>
    <t>Kraft Fy, Gegengewichtssschiene</t>
  </si>
  <si>
    <t>EN81-70 Barrierefreiheit</t>
  </si>
  <si>
    <t>EN81-72 Feuerwehraufzug</t>
  </si>
  <si>
    <t>EN81-73 Brandfallsteuerung</t>
  </si>
  <si>
    <t>EN81-77 Erdbeben</t>
  </si>
  <si>
    <t>EN81-58 Brandschutzklasse Schachttüren</t>
  </si>
  <si>
    <t>alt. Evakuierungshaltestelle</t>
  </si>
  <si>
    <t>Notstrom permanent</t>
  </si>
  <si>
    <t>Kaskadenschaltung Evakuierung</t>
  </si>
  <si>
    <t>Notstromart</t>
  </si>
  <si>
    <t>andere Funktionen</t>
  </si>
  <si>
    <t>Kostenschätzung</t>
  </si>
  <si>
    <t>[€]</t>
  </si>
  <si>
    <t>Kostenberechnung</t>
  </si>
  <si>
    <t>6.OG (E6)</t>
  </si>
  <si>
    <t>5.OG (E5)</t>
  </si>
  <si>
    <t>4.OG (E4)</t>
  </si>
  <si>
    <t>3.OG (E3)</t>
  </si>
  <si>
    <t>2.OG (E2)</t>
  </si>
  <si>
    <t>1.OG (E1)</t>
  </si>
  <si>
    <t>EG (E0)</t>
  </si>
  <si>
    <t xml:space="preserve"> ± 0,00 m</t>
  </si>
  <si>
    <t>UG 1 (E-1)</t>
  </si>
  <si>
    <t>./.</t>
  </si>
  <si>
    <t>UG 2 (E-2)</t>
  </si>
  <si>
    <t>EN81-71 Mutwillige Zerstörung</t>
  </si>
  <si>
    <t>Geschoß</t>
  </si>
  <si>
    <t>A</t>
  </si>
  <si>
    <t>B</t>
  </si>
  <si>
    <t>Pers.</t>
  </si>
  <si>
    <t>Building part</t>
  </si>
  <si>
    <t>Buidlign section</t>
  </si>
  <si>
    <t>Grid position</t>
  </si>
  <si>
    <t>Plan code</t>
  </si>
  <si>
    <t>Drawing No.: internal</t>
  </si>
  <si>
    <t>System category</t>
  </si>
  <si>
    <t>Brand</t>
  </si>
  <si>
    <t>Factory number</t>
  </si>
  <si>
    <t>Control / Group</t>
  </si>
  <si>
    <t>Counterweight location</t>
  </si>
  <si>
    <t>Load capacity</t>
  </si>
  <si>
    <t>Permissible number of persons</t>
  </si>
  <si>
    <t>Speed</t>
  </si>
  <si>
    <t>Acceleration</t>
  </si>
  <si>
    <t>Travel height</t>
  </si>
  <si>
    <t>Stops</t>
  </si>
  <si>
    <t>Number of shaft doors</t>
  </si>
  <si>
    <t>Open-through</t>
  </si>
  <si>
    <t>adjacent access</t>
  </si>
  <si>
    <t>accessible rooms / cwt safety</t>
  </si>
  <si>
    <t>Cabin depth</t>
  </si>
  <si>
    <t>Clear cabin height</t>
  </si>
  <si>
    <t>Structural cabin height</t>
  </si>
  <si>
    <t>Door width</t>
  </si>
  <si>
    <t>Door structural opening width</t>
  </si>
  <si>
    <t>Door height</t>
  </si>
  <si>
    <t>Door structural opening height</t>
  </si>
  <si>
    <t>Door type</t>
  </si>
  <si>
    <t>LOP type</t>
  </si>
  <si>
    <t>LOP location</t>
  </si>
  <si>
    <t>LIP type</t>
  </si>
  <si>
    <t>LIP location</t>
  </si>
  <si>
    <t>Shaft width current planning</t>
  </si>
  <si>
    <t>Shaft depth proposal</t>
  </si>
  <si>
    <t>Shaft depth current planning</t>
  </si>
  <si>
    <t>Shaft head current planning</t>
  </si>
  <si>
    <t>Shaft pit current planning</t>
  </si>
  <si>
    <t>Machine room width current planning</t>
  </si>
  <si>
    <t>Machine room height current planning</t>
  </si>
  <si>
    <t>Lift vestibule width</t>
  </si>
  <si>
    <t>Lift vestibule depth</t>
  </si>
  <si>
    <t>Drive/Motor location</t>
  </si>
  <si>
    <t>Control / Operation panel location</t>
  </si>
  <si>
    <t>Drive/Motor type</t>
  </si>
  <si>
    <t>Duty cycle (motor)</t>
  </si>
  <si>
    <t>Drive/Motor Power</t>
  </si>
  <si>
    <t>Connected load</t>
  </si>
  <si>
    <t>Rated current</t>
  </si>
  <si>
    <t>Starting current (factor ≈ 2)</t>
  </si>
  <si>
    <t>Diversity factor</t>
  </si>
  <si>
    <t>Energy consumption</t>
  </si>
  <si>
    <t>Temperature machine room / shaft</t>
  </si>
  <si>
    <t>Mechanical Loading</t>
  </si>
  <si>
    <t>Force F1, F2 elevator rail segment</t>
  </si>
  <si>
    <t>Force F3, each buffer</t>
  </si>
  <si>
    <t>Counterweight safety gear</t>
  </si>
  <si>
    <t>Force F4, per counterweight rail segment</t>
  </si>
  <si>
    <t>Force F5, per counterweight buffer</t>
  </si>
  <si>
    <t>Force F6, static shaft door</t>
  </si>
  <si>
    <t>Force F7, static counterweight</t>
  </si>
  <si>
    <t>Force F8, static cabin</t>
  </si>
  <si>
    <t>Force Fx, cabin rail</t>
  </si>
  <si>
    <t>Force Fy, cabint rail</t>
  </si>
  <si>
    <t>Force Fx, counterweight rail</t>
  </si>
  <si>
    <t>Force Fy, counterweight rail</t>
  </si>
  <si>
    <t>Applicable codes</t>
  </si>
  <si>
    <t>EN81-70 Accessibility</t>
  </si>
  <si>
    <t>DIN EN17210 / 18040-1 Accessibility</t>
  </si>
  <si>
    <t>EN81-71 Vandalism category</t>
  </si>
  <si>
    <t>EN81-72 Firefighter elevator</t>
  </si>
  <si>
    <t>EN81-73 Fire emergency return</t>
  </si>
  <si>
    <t>EN81-77 Seismic category</t>
  </si>
  <si>
    <t>Interfaces</t>
  </si>
  <si>
    <t>Smoke extraction min. size netto</t>
  </si>
  <si>
    <t>Alternate evacuation floor</t>
  </si>
  <si>
    <t>Cascading evacuation control</t>
  </si>
  <si>
    <t>Type of emergency power</t>
  </si>
  <si>
    <t>Functions</t>
  </si>
  <si>
    <t>Full load</t>
  </si>
  <si>
    <t>Bypass</t>
  </si>
  <si>
    <t>Advanced door opening</t>
  </si>
  <si>
    <t>Selective door control</t>
  </si>
  <si>
    <t>Priority key switch (car)</t>
  </si>
  <si>
    <t>Priority key switch (hall)</t>
  </si>
  <si>
    <t>Out-of-service key switch (hall)</t>
  </si>
  <si>
    <t>Trip counter</t>
  </si>
  <si>
    <t>Hour meter</t>
  </si>
  <si>
    <t>Landing lock function</t>
  </si>
  <si>
    <t>Nudging Device</t>
  </si>
  <si>
    <t>Power saving mode (standby)</t>
  </si>
  <si>
    <t>Other functions</t>
  </si>
  <si>
    <t>Cost</t>
  </si>
  <si>
    <t>Cost estimation</t>
  </si>
  <si>
    <t>Cost calculation</t>
  </si>
  <si>
    <t>6th floor (E6)</t>
  </si>
  <si>
    <t>5th floor (E5)</t>
  </si>
  <si>
    <t>4th floor (E4)</t>
  </si>
  <si>
    <t>3rd floor (E3)</t>
  </si>
  <si>
    <t>2nd floor (E2)</t>
  </si>
  <si>
    <t>1st floor (E1)</t>
  </si>
  <si>
    <t>Ground floor (E0)</t>
  </si>
  <si>
    <t>± 0.00 m</t>
  </si>
  <si>
    <t>1st basement (E-1)</t>
  </si>
  <si>
    <t>2nd basement (E-2)</t>
  </si>
  <si>
    <t>Position Gegengewicht</t>
  </si>
  <si>
    <t>Betretbare Räume / Fang Gegengewicht</t>
  </si>
  <si>
    <t>Türhöhe</t>
  </si>
  <si>
    <t>Tür Strukturelle Öffnungsbreite</t>
  </si>
  <si>
    <t>Tür Strukturelle Öffnungshöhe</t>
  </si>
  <si>
    <t>Anzeige - Lage</t>
  </si>
  <si>
    <t>Anzeige - Typ</t>
  </si>
  <si>
    <t>Steuerung - Lage</t>
  </si>
  <si>
    <t>Steuerung Typ</t>
  </si>
  <si>
    <t>Schachttrennwand - Typ</t>
  </si>
  <si>
    <t>Schachttrennwand - Stärke</t>
  </si>
  <si>
    <t>Maschinenraumhöhe aktuelle Planung</t>
  </si>
  <si>
    <t>Aufzugsvorraum - Tiefe</t>
  </si>
  <si>
    <t>Aufzugsvorraum - Breite</t>
  </si>
  <si>
    <t>Elektrik / HLK</t>
  </si>
  <si>
    <t>EN81-28 Fernnotruf</t>
  </si>
  <si>
    <t>DIN EN17210 / DIN 18040-1/2 Barrierefreiheit</t>
  </si>
  <si>
    <t>Schnittstellen</t>
  </si>
  <si>
    <t>Funktionen</t>
  </si>
  <si>
    <t>Missbrauchsunterdrückung</t>
  </si>
  <si>
    <t>Voll-Last</t>
  </si>
  <si>
    <t>Früh-Öffnende Türen</t>
  </si>
  <si>
    <t>Türsteuerung selektiv</t>
  </si>
  <si>
    <t>Vorzugsruf Fahrkorb</t>
  </si>
  <si>
    <t>Vorzugsruf Haltestelle</t>
  </si>
  <si>
    <t>Aufzug Aus-Schalter Haltestelle</t>
  </si>
  <si>
    <t>Fahrtenzähler</t>
  </si>
  <si>
    <t>Betriebsstundenzähler</t>
  </si>
  <si>
    <t>Sperrung Haltestellen</t>
  </si>
  <si>
    <t>Türen mit Drängelschaltung</t>
  </si>
  <si>
    <t>Bevorzugte Parkhaltestelle</t>
  </si>
  <si>
    <t>Automatischer Fahrkorblüfter</t>
  </si>
  <si>
    <t>Weitere Funktionen</t>
  </si>
  <si>
    <t>Kosten</t>
  </si>
  <si>
    <t>Level</t>
  </si>
  <si>
    <t>Höhe / Türseite / Pers</t>
  </si>
  <si>
    <t>H/Side/Pers</t>
  </si>
  <si>
    <t>YES/NO</t>
  </si>
  <si>
    <t>Ja/Yes</t>
  </si>
  <si>
    <t>Nein/No</t>
  </si>
  <si>
    <t>Vorraumüberwachung</t>
  </si>
  <si>
    <t>Tür-Zu-Taster</t>
  </si>
  <si>
    <t>EN81-58 Fire rated landing doors</t>
  </si>
  <si>
    <t>Haltestellen und Belegung</t>
  </si>
  <si>
    <t>Lift Number</t>
  </si>
  <si>
    <t>Nutzung</t>
  </si>
  <si>
    <t>-</t>
  </si>
  <si>
    <t>Issue Purpose</t>
  </si>
  <si>
    <t>Date</t>
  </si>
  <si>
    <t>P01</t>
  </si>
  <si>
    <t>Revision</t>
  </si>
  <si>
    <t>Design Stage</t>
  </si>
  <si>
    <t>xx</t>
  </si>
  <si>
    <t>Design Eng.</t>
  </si>
  <si>
    <t>Checked</t>
  </si>
  <si>
    <t>EN81-28 emergency call</t>
  </si>
  <si>
    <t>Art Rauchabzug</t>
  </si>
  <si>
    <t>Rauchabzug Mindestfläche</t>
  </si>
  <si>
    <t>Emergency power</t>
  </si>
  <si>
    <t>other functions</t>
  </si>
  <si>
    <t>Typ Zugangskontrolle</t>
  </si>
  <si>
    <t>00xxxxx</t>
  </si>
  <si>
    <t>xxxx</t>
  </si>
  <si>
    <t xml:space="preserve">Project No: </t>
  </si>
  <si>
    <t>Drawing Title:</t>
  </si>
  <si>
    <t>Drawing No:</t>
  </si>
  <si>
    <t>Schematics and Occupancies</t>
  </si>
  <si>
    <t>Project name:</t>
  </si>
  <si>
    <t>Vertical Transportation Schedules</t>
  </si>
  <si>
    <r>
      <t xml:space="preserve">Anlaufstrom (Faktor </t>
    </r>
    <r>
      <rPr>
        <sz val="11"/>
        <color theme="1"/>
        <rFont val="Calibri"/>
        <family val="2"/>
        <scheme val="minor"/>
      </rPr>
      <t>≈ 2)</t>
    </r>
  </si>
  <si>
    <t>[St.]</t>
  </si>
  <si>
    <t>Anzahl Fahrkorbpuffer</t>
  </si>
  <si>
    <t>Anzahl Gegengewichtspuffer</t>
  </si>
  <si>
    <t>Gleichzeitigkeitsfaktor (0,5 - 1,0)</t>
  </si>
  <si>
    <t>[kWh]</t>
  </si>
  <si>
    <t>[kJ]</t>
  </si>
  <si>
    <t>Einschaltdauer (ED Motor) (40% - 50 %)</t>
  </si>
  <si>
    <t>y</t>
  </si>
  <si>
    <t>Gewicht FK-Schiene (90er / 125er)</t>
  </si>
  <si>
    <t>[kg/m]</t>
  </si>
  <si>
    <t>Permissible sill load / Loading class</t>
  </si>
  <si>
    <t>Schwellenbelastung / Beladungsklasse</t>
  </si>
  <si>
    <t>Rail weight car</t>
  </si>
  <si>
    <t>number of cwt buffers</t>
  </si>
  <si>
    <t>number of car buffers</t>
  </si>
  <si>
    <t>Rail weight cwt</t>
  </si>
  <si>
    <t>Gewicht GG-Schiene (50er / 90er / 125er)</t>
  </si>
  <si>
    <t>Green building Zertifizierung</t>
  </si>
  <si>
    <t>Green building certification compliance</t>
  </si>
  <si>
    <t>type</t>
  </si>
  <si>
    <t>BMS interfaces as per spec</t>
  </si>
  <si>
    <t>GLT-Schnittstellen gem. LV</t>
  </si>
  <si>
    <t>In-car CCTV</t>
  </si>
  <si>
    <t>Überwachungskamera Kabine</t>
  </si>
  <si>
    <t>digitale Schnittstellen gem. LV</t>
  </si>
  <si>
    <t>FIZ/BMZ Schnittstellen gem. LV</t>
  </si>
  <si>
    <t>FCC panel interface as per spec</t>
  </si>
  <si>
    <t>FAS interfaces as per spec</t>
  </si>
  <si>
    <t>BMA Schnittstellen gem. LV</t>
  </si>
  <si>
    <t>2-way intercom firefighter lift</t>
  </si>
  <si>
    <t>Gegensprechanlage Feuerwehraufzug</t>
  </si>
  <si>
    <t>Misuse</t>
  </si>
  <si>
    <t>Access control</t>
  </si>
  <si>
    <t>Zugangskontrolle</t>
  </si>
  <si>
    <t>Automatic fan</t>
  </si>
  <si>
    <t>Freight Loading function as per spec</t>
  </si>
  <si>
    <t>Ladezeittaster im Fahrkorb gem. LV</t>
  </si>
  <si>
    <t>Door close button</t>
  </si>
  <si>
    <t>Freight lift vestibule monitoring</t>
  </si>
  <si>
    <t>Security Funktion</t>
  </si>
  <si>
    <t>Return to lobby function</t>
  </si>
  <si>
    <t>Access Control interface type</t>
  </si>
  <si>
    <t>andere Sicherheitsschnittstellen gem. LV</t>
  </si>
  <si>
    <t>other Security interfaces as per spec.</t>
  </si>
  <si>
    <t>Hall fixture cover plates</t>
  </si>
  <si>
    <t>Deckplatte Druckknopfkästen</t>
  </si>
  <si>
    <t>Hall indicator cover plates</t>
  </si>
  <si>
    <t>Deckplatte Anzeigen</t>
  </si>
  <si>
    <t>Druckknopftyp</t>
  </si>
  <si>
    <t>Typ Türrahmen Aufzug</t>
  </si>
  <si>
    <t>Lift door frame type</t>
  </si>
  <si>
    <t>Door frame surface</t>
  </si>
  <si>
    <t>Türrahmenoberfläche</t>
  </si>
  <si>
    <t>Zargenoberfläche</t>
  </si>
  <si>
    <t>Jamb material &amp; surface</t>
  </si>
  <si>
    <t>Jamb type</t>
  </si>
  <si>
    <t>Zargentyp</t>
  </si>
  <si>
    <t>Interior Design Lifts</t>
  </si>
  <si>
    <t>Interior Design / Ausstattung Aufzüge</t>
  </si>
  <si>
    <t>Car door panel</t>
  </si>
  <si>
    <t>Landing door panel</t>
  </si>
  <si>
    <t>Landing door threshold</t>
  </si>
  <si>
    <t>Car door threshold</t>
  </si>
  <si>
    <t>Suspended ceiling</t>
  </si>
  <si>
    <t>Mirror type</t>
  </si>
  <si>
    <t>Mirror location</t>
  </si>
  <si>
    <t>Handrail type</t>
  </si>
  <si>
    <t>Handrail location</t>
  </si>
  <si>
    <t>Ram protection type</t>
  </si>
  <si>
    <t>Ram protection number and location</t>
  </si>
  <si>
    <t>Flooring type</t>
  </si>
  <si>
    <t>Flooring thickness</t>
  </si>
  <si>
    <t>Skirting type</t>
  </si>
  <si>
    <t>Skirting location</t>
  </si>
  <si>
    <t>other design requirements</t>
  </si>
  <si>
    <t>Interior Design Escalator/Moving Walk</t>
  </si>
  <si>
    <t>Interior Design / Ausstattung Fahrtreppen/Fahrsteige</t>
  </si>
  <si>
    <t>Comb lighting</t>
  </si>
  <si>
    <t>Skirt lighting</t>
  </si>
  <si>
    <t>Step demarcation</t>
  </si>
  <si>
    <t>Car wall panels</t>
  </si>
  <si>
    <t>mm</t>
  </si>
  <si>
    <t>Maintenance panel cover</t>
  </si>
  <si>
    <t>Bedienpaneeloberfläche</t>
  </si>
  <si>
    <t>Vertical Control panel surface</t>
  </si>
  <si>
    <t>Number and location of vertical control panels</t>
  </si>
  <si>
    <t>Horizontal control panel surface (EN81-70)</t>
  </si>
  <si>
    <t>Location of horizontal control panel (EN81-70)</t>
  </si>
  <si>
    <t>Hall Button shape/types</t>
  </si>
  <si>
    <t>XL buttons horizontal panel (EN81-70)</t>
  </si>
  <si>
    <t>XL Hall Button (EN81-70)</t>
  </si>
  <si>
    <t>Induction loop (EN81-70)</t>
  </si>
  <si>
    <t>Hörschleife (EN81-70)</t>
  </si>
  <si>
    <t>Braille buttons (EN81-70)</t>
  </si>
  <si>
    <t>Braille (EN81-70)</t>
  </si>
  <si>
    <t>XL Druckknöpfe (EN81-70)</t>
  </si>
  <si>
    <t>Klappsitz (EN81-70)</t>
  </si>
  <si>
    <t>Tip-up seat (EN81-70)</t>
  </si>
  <si>
    <t>Predefined Parking Stop</t>
  </si>
  <si>
    <t>Automatic Rescue Device (ARD)</t>
  </si>
  <si>
    <t>Evakuierung Notstrombatterie</t>
  </si>
  <si>
    <t>Heat dissipation motor</t>
  </si>
  <si>
    <t>Permissible rope stretch</t>
  </si>
  <si>
    <t>mm/100 kg</t>
  </si>
  <si>
    <t>zul. Seileinfederung</t>
  </si>
  <si>
    <t>Levelling tolerance</t>
  </si>
  <si>
    <t>Relevelling range</t>
  </si>
  <si>
    <t>Nachjustierbereich</t>
  </si>
  <si>
    <t>Haltetoleranz</t>
  </si>
  <si>
    <t>ICT/AV interfaces as per spec</t>
  </si>
  <si>
    <t>Sprinkler in shaft / Shunt trip</t>
  </si>
  <si>
    <t>Sprinkler im Schacht</t>
  </si>
  <si>
    <t>Smoke management type</t>
  </si>
  <si>
    <t>EN81-76 Emergency Evacuation Class</t>
  </si>
  <si>
    <t>EN81-76 Evakuierung Klassifizierung</t>
  </si>
  <si>
    <t>EN81-76 Evacuation functions</t>
  </si>
  <si>
    <t>EN81-76 Evakuierungsfunktionen</t>
  </si>
  <si>
    <t>types</t>
  </si>
  <si>
    <t>Water management Firefighter and Evacuation lift</t>
  </si>
  <si>
    <t>Wassermanagement</t>
  </si>
  <si>
    <t>Hauptevakuierungshaltestelle Brandfall und EEL EN81-76</t>
  </si>
  <si>
    <t>Main evacuation floor fire return and EEL EN81-76</t>
  </si>
  <si>
    <t>self-rescue method firefighter lift</t>
  </si>
  <si>
    <t>Selbstrettungsmethode Feuerwehraufzug</t>
  </si>
  <si>
    <t>PAVA alarm interface car</t>
  </si>
  <si>
    <t>PAVA Schnittstelle Kabine</t>
  </si>
  <si>
    <t>Lift monitoring</t>
  </si>
  <si>
    <t>Energy recovery</t>
  </si>
  <si>
    <t>Rückspeisung</t>
  </si>
  <si>
    <t>Power grid voltage/type</t>
  </si>
  <si>
    <t>Netztyp/-spannung</t>
  </si>
  <si>
    <t>[V]</t>
  </si>
  <si>
    <t>cat.</t>
  </si>
  <si>
    <t>Air conditioning</t>
  </si>
  <si>
    <t>Klimaanlage</t>
  </si>
  <si>
    <t>Baubetrieb</t>
  </si>
  <si>
    <t>Construction use</t>
  </si>
  <si>
    <t>Balustrade</t>
  </si>
  <si>
    <t>Handrail</t>
  </si>
  <si>
    <t>Balustrade Height</t>
  </si>
  <si>
    <t>Balustrade front plate cover</t>
  </si>
  <si>
    <t>Steps</t>
  </si>
  <si>
    <t>Access cover plate</t>
  </si>
  <si>
    <t>Comb</t>
  </si>
  <si>
    <t>Truss side cover</t>
  </si>
  <si>
    <t>Decking inside and outside cover</t>
  </si>
  <si>
    <t>Skirting inside and outside cover</t>
  </si>
  <si>
    <t>Truss soffit</t>
  </si>
  <si>
    <t>Handrail lighting</t>
  </si>
  <si>
    <t>Understep lighting</t>
  </si>
  <si>
    <t>Car wall panel recess reservation</t>
  </si>
  <si>
    <t>Induction loop</t>
  </si>
  <si>
    <t>Hörschleife</t>
  </si>
  <si>
    <t>Lift maintenance panel type</t>
  </si>
  <si>
    <t>Lift maintenance panel location</t>
  </si>
  <si>
    <t>Typ Bedienpaneel</t>
  </si>
  <si>
    <t>Lage Bedienpaneel</t>
  </si>
  <si>
    <t>Bedienpaneeltyp</t>
  </si>
  <si>
    <t>Maintenance panel type</t>
  </si>
  <si>
    <t>Number of trips per hour</t>
  </si>
  <si>
    <t>Anzahl Fahrten pro Stunde</t>
  </si>
  <si>
    <t>Electrical &amp; HVAC</t>
  </si>
  <si>
    <t>General Specification</t>
  </si>
  <si>
    <t>Layout information</t>
  </si>
  <si>
    <t>Layoutinformationen</t>
  </si>
  <si>
    <t>Generelle Spezifikation</t>
  </si>
  <si>
    <t>Mechanische Lasten</t>
  </si>
  <si>
    <t>Angewandte Normen</t>
  </si>
  <si>
    <t>Cabin type/shape</t>
  </si>
  <si>
    <t>Cabin width (clear)</t>
  </si>
  <si>
    <t>Shaft equipment fixation type</t>
  </si>
  <si>
    <t>Shaft width suggested</t>
  </si>
  <si>
    <t>Shaft Division type</t>
  </si>
  <si>
    <t>Shaft division width</t>
  </si>
  <si>
    <t xml:space="preserve">Shaft head suggested </t>
  </si>
  <si>
    <t>Shaft pit suggested</t>
  </si>
  <si>
    <t xml:space="preserve">Machine room width suggested </t>
  </si>
  <si>
    <t xml:space="preserve">Machine room height suggested </t>
  </si>
  <si>
    <t>EN81-58 fire rating class</t>
  </si>
  <si>
    <t xml:space="preserve">System name </t>
  </si>
  <si>
    <t xml:space="preserve">Systemname </t>
  </si>
  <si>
    <t xml:space="preserve">Kabinentyp/-form </t>
  </si>
  <si>
    <t>Empfohlene Schachtbreite</t>
  </si>
  <si>
    <t>Schachtbreite laut aktueller Planung</t>
  </si>
  <si>
    <t>Art der Befestigung der Schachtausrüstung</t>
  </si>
  <si>
    <t>Vorgeschlagene Schachttiefe</t>
  </si>
  <si>
    <t>Schachttiefe laut aktueller Planung</t>
  </si>
  <si>
    <t>Empfohlene Schachtkopfhöhe</t>
  </si>
  <si>
    <t>Empfohlene Schachtgrubentiefe</t>
  </si>
  <si>
    <t>Empfohlene Maschinenraumbreite</t>
  </si>
  <si>
    <t xml:space="preserve">Machine room depth suggested </t>
  </si>
  <si>
    <t>Empfohlene Maschinenraumhöhe</t>
  </si>
  <si>
    <t>EN81-58 Feuerwiderstandsklasse gemäß</t>
  </si>
  <si>
    <t>Empfohlene Maschinenraumtiefe</t>
  </si>
  <si>
    <t xml:space="preserve"> Vertical Transportation Schedules / Spezifikationen Fördertechnik</t>
  </si>
  <si>
    <t>Kabinenwandpaneele</t>
  </si>
  <si>
    <t>Aussparungsreservierung in Kabinenwandpaneelen</t>
  </si>
  <si>
    <t>Abgehängte Decke</t>
  </si>
  <si>
    <t>Bodenbelagstyp</t>
  </si>
  <si>
    <t>Bodenbelagsdicke</t>
  </si>
  <si>
    <t>Kabinentürpaneel</t>
  </si>
  <si>
    <t>Kabinentürschwelle</t>
  </si>
  <si>
    <t>Sockelleistentyp</t>
  </si>
  <si>
    <t>Position der Sockelleiste</t>
  </si>
  <si>
    <t>Oberfläche des vertikalen Bedientableaus</t>
  </si>
  <si>
    <t>Anzahl und Position der vertikalen Bedientableaus</t>
  </si>
  <si>
    <t>Oberfläche des horizontalen Bedientableaus (EN81‑70)</t>
  </si>
  <si>
    <t>Position des horizontalen Bedientableaus (EN81‑70)</t>
  </si>
  <si>
    <t>XL‑Taster im horizontalen Bedientableau (EN81‑70)</t>
  </si>
  <si>
    <t>Handlauftyp</t>
  </si>
  <si>
    <t>Position des Handlaufs</t>
  </si>
  <si>
    <t>Spiegeltyp</t>
  </si>
  <si>
    <t>Position des Spiegels</t>
  </si>
  <si>
    <t>Typ des Rammschutzes</t>
  </si>
  <si>
    <t>Anzahl und Position des Rammschutzes</t>
  </si>
  <si>
    <t>Stockwerktürpaneel</t>
  </si>
  <si>
    <t>Stockwerktürschwelle</t>
  </si>
  <si>
    <t>Weitere gestalterische Anforderungen</t>
  </si>
  <si>
    <t>Balustradenhöhe</t>
  </si>
  <si>
    <t>Handlauf</t>
  </si>
  <si>
    <t>Abdeckung der Frontblende der Balustrade</t>
  </si>
  <si>
    <t>Stufen</t>
  </si>
  <si>
    <t>Stufenkennzeichnung</t>
  </si>
  <si>
    <t>Zugangsabdeckplatte</t>
  </si>
  <si>
    <t>Kamm</t>
  </si>
  <si>
    <t>Abdeckung der Innen‑ und Außenschürze</t>
  </si>
  <si>
    <t>Abdeckung des Innen‑ und Außendeckbelags</t>
  </si>
  <si>
    <t>Seitliche Fachwerkabdeckung</t>
  </si>
  <si>
    <t>Fachwerkunterseite</t>
  </si>
  <si>
    <t>Schürzenbeleuchtung</t>
  </si>
  <si>
    <t>Handlaufbeleuchtung</t>
  </si>
  <si>
    <t>Stufenunterbeleuchtung</t>
  </si>
  <si>
    <t>Kammbeleuchtung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</si>
</sst>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\ [$€-407]_-;\-* #,##0.00\ [$€-407]_-;_-* &quot;-&quot;??\ [$€-407]_-;_-@_-"/>
    <numFmt numFmtId="165" formatCode="0.0"/>
    <numFmt numFmtId="166" formatCode="\+#,##0.00\ &quot;m&quot;;\-#,##0.00\ &quot;m&quot;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Segoe UI"/>
      <family val="2"/>
    </font>
    <font>
      <b/>
      <u/>
      <sz val="9"/>
      <color theme="1"/>
      <name val="Segoe UI"/>
      <family val="2"/>
    </font>
    <font>
      <b/>
      <sz val="9"/>
      <color theme="1"/>
      <name val="Segoe UI"/>
      <family val="2"/>
    </font>
    <font>
      <i/>
      <sz val="9"/>
      <color theme="1"/>
      <name val="Segoe U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BBB5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67955565050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0" fontId="3" fillId="0" borderId="0"/>
    <xf numFmtId="0" fontId="3" fillId="0" borderId="0"/>
    <xf numFmtId="0" fontId="11" fillId="0" borderId="0" applyNumberFormat="0" applyFill="0" applyBorder="0" applyAlignment="0"/>
    <xf numFmtId="0" fontId="12" fillId="0" borderId="0" applyNumberFormat="0" applyAlignment="0"/>
    <xf numFmtId="0" fontId="11" fillId="5" borderId="1" applyNumberFormat="0" applyAlignment="0">
      <protection locked="0"/>
    </xf>
    <xf numFmtId="0" fontId="3" fillId="6" borderId="1" applyNumberFormat="0" applyAlignment="0"/>
    <xf numFmtId="0" fontId="14" fillId="0" borderId="0" applyNumberFormat="0" applyFill="0" applyBorder="0" applyAlignment="0"/>
    <xf numFmtId="0" fontId="11" fillId="7" borderId="1" applyNumberFormat="0" applyAlignment="0"/>
    <xf numFmtId="0" fontId="13" fillId="0" borderId="0" applyNumberFormat="0">
      <alignment horizontal="left"/>
    </xf>
    <xf numFmtId="0" fontId="3" fillId="6" borderId="1" applyNumberFormat="0" applyAlignment="0"/>
  </cellStyleXfs>
  <cellXfs count="201">
    <xf numFmtId="0" fontId="0" fillId="0" borderId="0" xfId="0"/>
    <xf numFmtId="0" fontId="1" fillId="0" borderId="0" xfId="0" applyFont="1"/>
    <xf numFmtId="0" fontId="1" fillId="0" borderId="0" xfId="1" applyFont="1" applyAlignment="1">
      <alignment horizontal="center" vertical="center" wrapText="1"/>
    </xf>
    <xf numFmtId="0" fontId="1" fillId="0" borderId="0" xfId="1" applyFont="1"/>
    <xf numFmtId="0" fontId="1" fillId="0" borderId="1" xfId="0" applyFont="1" applyBorder="1" applyAlignment="1">
      <alignment horizontal="center"/>
    </xf>
    <xf numFmtId="0" fontId="0" fillId="0" borderId="1" xfId="1" applyFont="1" applyBorder="1"/>
    <xf numFmtId="0" fontId="0" fillId="0" borderId="1" xfId="1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2" borderId="29" xfId="1" applyFont="1" applyFill="1" applyBorder="1" applyAlignment="1">
      <alignment horizontal="center"/>
    </xf>
    <xf numFmtId="0" fontId="5" fillId="0" borderId="9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" fillId="0" borderId="32" xfId="1" applyFont="1" applyBorder="1" applyAlignment="1">
      <alignment horizontal="center"/>
    </xf>
    <xf numFmtId="0" fontId="0" fillId="0" borderId="33" xfId="1" applyFont="1" applyBorder="1" applyAlignment="1">
      <alignment horizontal="center"/>
    </xf>
    <xf numFmtId="0" fontId="0" fillId="0" borderId="14" xfId="1" applyFont="1" applyBorder="1" applyAlignment="1">
      <alignment horizontal="center"/>
    </xf>
    <xf numFmtId="0" fontId="0" fillId="2" borderId="11" xfId="1" applyFont="1" applyFill="1" applyBorder="1" applyAlignment="1">
      <alignment horizontal="center"/>
    </xf>
    <xf numFmtId="0" fontId="0" fillId="2" borderId="0" xfId="1" applyFont="1" applyFill="1" applyAlignment="1">
      <alignment horizontal="center"/>
    </xf>
    <xf numFmtId="0" fontId="0" fillId="0" borderId="0" xfId="1" applyFont="1" applyAlignment="1">
      <alignment horizontal="center"/>
    </xf>
    <xf numFmtId="0" fontId="0" fillId="0" borderId="21" xfId="1" applyFont="1" applyBorder="1" applyAlignment="1">
      <alignment horizontal="center"/>
    </xf>
    <xf numFmtId="0" fontId="0" fillId="0" borderId="22" xfId="1" applyFont="1" applyBorder="1" applyAlignment="1">
      <alignment horizontal="center"/>
    </xf>
    <xf numFmtId="0" fontId="0" fillId="2" borderId="17" xfId="1" applyFont="1" applyFill="1" applyBorder="1" applyAlignment="1">
      <alignment horizontal="center"/>
    </xf>
    <xf numFmtId="0" fontId="0" fillId="0" borderId="17" xfId="1" applyFont="1" applyBorder="1" applyAlignment="1">
      <alignment horizontal="center"/>
    </xf>
    <xf numFmtId="0" fontId="0" fillId="0" borderId="29" xfId="1" applyFont="1" applyBorder="1" applyAlignment="1">
      <alignment horizontal="center"/>
    </xf>
    <xf numFmtId="0" fontId="0" fillId="2" borderId="29" xfId="1" applyFont="1" applyFill="1" applyBorder="1" applyAlignment="1">
      <alignment horizontal="center"/>
    </xf>
    <xf numFmtId="0" fontId="0" fillId="2" borderId="29" xfId="1" applyFont="1" applyFill="1" applyBorder="1" applyAlignment="1">
      <alignment horizontal="center" vertical="center"/>
    </xf>
    <xf numFmtId="0" fontId="0" fillId="2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horizontal="center" shrinkToFit="1"/>
    </xf>
    <xf numFmtId="0" fontId="0" fillId="0" borderId="13" xfId="0" applyBorder="1" applyAlignment="1">
      <alignment horizontal="left"/>
    </xf>
    <xf numFmtId="0" fontId="0" fillId="0" borderId="0" xfId="1" applyFont="1"/>
    <xf numFmtId="0" fontId="0" fillId="0" borderId="2" xfId="1" applyFont="1" applyBorder="1"/>
    <xf numFmtId="164" fontId="0" fillId="0" borderId="0" xfId="1" applyNumberFormat="1" applyFont="1" applyAlignment="1">
      <alignment horizontal="center"/>
    </xf>
    <xf numFmtId="164" fontId="0" fillId="0" borderId="13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0" fontId="0" fillId="0" borderId="21" xfId="0" applyBorder="1"/>
    <xf numFmtId="164" fontId="0" fillId="0" borderId="21" xfId="1" applyNumberFormat="1" applyFont="1" applyBorder="1" applyAlignment="1">
      <alignment horizontal="center"/>
    </xf>
    <xf numFmtId="164" fontId="0" fillId="0" borderId="22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166" fontId="0" fillId="0" borderId="16" xfId="0" applyNumberFormat="1" applyBorder="1" applyAlignment="1">
      <alignment horizontal="center"/>
    </xf>
    <xf numFmtId="0" fontId="0" fillId="0" borderId="16" xfId="1" applyFont="1" applyBorder="1" applyAlignment="1">
      <alignment horizontal="left"/>
    </xf>
    <xf numFmtId="166" fontId="0" fillId="0" borderId="16" xfId="1" applyNumberFormat="1" applyFont="1" applyBorder="1" applyAlignment="1">
      <alignment horizontal="center"/>
    </xf>
    <xf numFmtId="0" fontId="0" fillId="0" borderId="18" xfId="1" applyFon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164" fontId="0" fillId="2" borderId="16" xfId="1" applyNumberFormat="1" applyFont="1" applyFill="1" applyBorder="1" applyAlignment="1">
      <alignment horizontal="center"/>
    </xf>
    <xf numFmtId="164" fontId="0" fillId="0" borderId="16" xfId="1" applyNumberFormat="1" applyFont="1" applyBorder="1" applyAlignment="1">
      <alignment horizontal="center"/>
    </xf>
    <xf numFmtId="164" fontId="0" fillId="2" borderId="17" xfId="1" applyNumberFormat="1" applyFont="1" applyFill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0" fontId="0" fillId="0" borderId="1" xfId="1" applyFont="1" applyBorder="1" applyAlignment="1">
      <alignment horizontal="center"/>
    </xf>
    <xf numFmtId="49" fontId="0" fillId="2" borderId="3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5" fillId="0" borderId="14" xfId="1" applyFont="1" applyBorder="1" applyAlignment="1">
      <alignment horizontal="center"/>
    </xf>
    <xf numFmtId="0" fontId="15" fillId="2" borderId="0" xfId="1" applyFont="1" applyFill="1" applyAlignment="1">
      <alignment horizontal="center"/>
    </xf>
    <xf numFmtId="164" fontId="15" fillId="0" borderId="0" xfId="1" applyNumberFormat="1" applyFont="1" applyAlignment="1">
      <alignment horizontal="center"/>
    </xf>
    <xf numFmtId="0" fontId="0" fillId="2" borderId="11" xfId="1" applyFont="1" applyFill="1" applyBorder="1" applyAlignment="1">
      <alignment horizontal="center" vertical="center"/>
    </xf>
    <xf numFmtId="2" fontId="0" fillId="2" borderId="0" xfId="1" applyNumberFormat="1" applyFont="1" applyFill="1" applyAlignment="1">
      <alignment horizontal="center"/>
    </xf>
    <xf numFmtId="0" fontId="0" fillId="0" borderId="3" xfId="1" applyFont="1" applyBorder="1" applyAlignment="1">
      <alignment horizontal="center"/>
    </xf>
    <xf numFmtId="0" fontId="1" fillId="0" borderId="39" xfId="1" applyFont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5" fillId="0" borderId="13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6" xfId="1" applyFont="1" applyBorder="1" applyAlignment="1">
      <alignment horizontal="center"/>
    </xf>
    <xf numFmtId="0" fontId="15" fillId="0" borderId="5" xfId="1" applyFont="1" applyBorder="1" applyAlignment="1">
      <alignment horizontal="center"/>
    </xf>
    <xf numFmtId="0" fontId="15" fillId="0" borderId="6" xfId="1" applyFont="1" applyBorder="1" applyAlignment="1">
      <alignment horizontal="center"/>
    </xf>
    <xf numFmtId="0" fontId="15" fillId="0" borderId="25" xfId="1" applyFont="1" applyBorder="1" applyAlignment="1">
      <alignment horizontal="center"/>
    </xf>
    <xf numFmtId="0" fontId="15" fillId="0" borderId="26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3" xfId="1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0" fontId="15" fillId="0" borderId="14" xfId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0" fillId="0" borderId="1" xfId="1" applyFont="1" applyBorder="1" applyAlignment="1">
      <alignment horizontal="center"/>
    </xf>
    <xf numFmtId="0" fontId="0" fillId="0" borderId="14" xfId="1" applyFont="1" applyBorder="1" applyAlignment="1">
      <alignment horizontal="center"/>
    </xf>
    <xf numFmtId="0" fontId="0" fillId="0" borderId="1" xfId="1" applyFont="1" applyBorder="1" applyAlignment="1">
      <alignment horizontal="left"/>
    </xf>
    <xf numFmtId="0" fontId="0" fillId="0" borderId="13" xfId="1" applyFont="1" applyBorder="1" applyAlignment="1">
      <alignment horizontal="center"/>
    </xf>
    <xf numFmtId="0" fontId="0" fillId="0" borderId="1" xfId="1" applyFont="1" applyBorder="1"/>
    <xf numFmtId="0" fontId="0" fillId="0" borderId="19" xfId="1" applyFont="1" applyBorder="1" applyAlignment="1">
      <alignment horizontal="center"/>
    </xf>
    <xf numFmtId="0" fontId="0" fillId="0" borderId="11" xfId="1" applyFont="1" applyBorder="1" applyAlignment="1">
      <alignment horizontal="center"/>
    </xf>
    <xf numFmtId="0" fontId="0" fillId="0" borderId="20" xfId="1" applyFont="1" applyBorder="1" applyAlignment="1">
      <alignment horizontal="center"/>
    </xf>
    <xf numFmtId="0" fontId="0" fillId="0" borderId="21" xfId="1" applyFont="1" applyBorder="1" applyAlignment="1">
      <alignment horizontal="center"/>
    </xf>
    <xf numFmtId="0" fontId="0" fillId="0" borderId="0" xfId="1" applyFont="1" applyAlignment="1">
      <alignment horizontal="center"/>
    </xf>
    <xf numFmtId="0" fontId="0" fillId="0" borderId="22" xfId="1" applyFont="1" applyBorder="1" applyAlignment="1">
      <alignment horizontal="center"/>
    </xf>
    <xf numFmtId="0" fontId="0" fillId="0" borderId="23" xfId="1" applyFont="1" applyBorder="1" applyAlignment="1">
      <alignment horizontal="center"/>
    </xf>
    <xf numFmtId="0" fontId="0" fillId="0" borderId="17" xfId="1" applyFont="1" applyBorder="1" applyAlignment="1">
      <alignment horizontal="center"/>
    </xf>
    <xf numFmtId="0" fontId="0" fillId="0" borderId="24" xfId="1" applyFont="1" applyBorder="1" applyAlignment="1">
      <alignment horizontal="center"/>
    </xf>
    <xf numFmtId="0" fontId="0" fillId="2" borderId="10" xfId="1" applyFont="1" applyFill="1" applyBorder="1" applyAlignment="1">
      <alignment horizontal="center"/>
    </xf>
    <xf numFmtId="0" fontId="0" fillId="2" borderId="1" xfId="1" applyFont="1" applyFill="1" applyBorder="1" applyAlignment="1">
      <alignment horizontal="center"/>
    </xf>
    <xf numFmtId="0" fontId="0" fillId="2" borderId="16" xfId="1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7" fillId="4" borderId="31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49" fontId="9" fillId="0" borderId="16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0" fillId="0" borderId="3" xfId="1" applyFont="1" applyBorder="1" applyAlignment="1">
      <alignment horizontal="left"/>
    </xf>
    <xf numFmtId="0" fontId="0" fillId="0" borderId="6" xfId="1" applyFont="1" applyBorder="1" applyAlignment="1">
      <alignment horizontal="left"/>
    </xf>
    <xf numFmtId="0" fontId="6" fillId="0" borderId="3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13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26" xfId="1" applyFont="1" applyBorder="1" applyAlignment="1">
      <alignment horizontal="center"/>
    </xf>
    <xf numFmtId="0" fontId="0" fillId="0" borderId="5" xfId="1" applyFont="1" applyBorder="1" applyAlignment="1">
      <alignment horizontal="center"/>
    </xf>
    <xf numFmtId="0" fontId="0" fillId="0" borderId="6" xfId="1" applyFont="1" applyBorder="1" applyAlignment="1">
      <alignment horizontal="center"/>
    </xf>
    <xf numFmtId="0" fontId="0" fillId="0" borderId="3" xfId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/>
    <xf numFmtId="0" fontId="0" fillId="0" borderId="1" xfId="0" applyBorder="1"/>
    <xf numFmtId="0" fontId="1" fillId="0" borderId="2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26" xfId="0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5" fillId="0" borderId="5" xfId="0" applyFont="1" applyBorder="1"/>
    <xf numFmtId="0" fontId="15" fillId="0" borderId="6" xfId="0" applyFont="1" applyBorder="1"/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6" xfId="0" applyBorder="1"/>
    <xf numFmtId="0" fontId="0" fillId="0" borderId="6" xfId="0" applyBorder="1"/>
    <xf numFmtId="0" fontId="10" fillId="4" borderId="31" xfId="0" applyFont="1" applyFill="1" applyBorder="1" applyAlignment="1">
      <alignment horizontal="left"/>
    </xf>
    <xf numFmtId="0" fontId="10" fillId="4" borderId="29" xfId="0" applyFont="1" applyFill="1" applyBorder="1" applyAlignment="1">
      <alignment horizontal="left"/>
    </xf>
    <xf numFmtId="0" fontId="0" fillId="0" borderId="28" xfId="0" applyBorder="1"/>
    <xf numFmtId="0" fontId="0" fillId="0" borderId="7" xfId="0" applyBorder="1"/>
    <xf numFmtId="0" fontId="1" fillId="0" borderId="0" xfId="1" applyFont="1" applyAlignment="1">
      <alignment horizontal="center"/>
    </xf>
    <xf numFmtId="0" fontId="0" fillId="0" borderId="26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1" fontId="0" fillId="0" borderId="26" xfId="1" applyNumberFormat="1" applyFont="1" applyBorder="1" applyAlignment="1">
      <alignment horizontal="center"/>
    </xf>
    <xf numFmtId="1" fontId="0" fillId="0" borderId="5" xfId="1" applyNumberFormat="1" applyFont="1" applyBorder="1" applyAlignment="1">
      <alignment horizontal="center"/>
    </xf>
    <xf numFmtId="1" fontId="0" fillId="0" borderId="6" xfId="1" applyNumberFormat="1" applyFon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49" fontId="0" fillId="0" borderId="26" xfId="1" applyNumberFormat="1" applyFont="1" applyBorder="1" applyAlignment="1">
      <alignment horizontal="center"/>
    </xf>
    <xf numFmtId="49" fontId="0" fillId="0" borderId="5" xfId="1" applyNumberFormat="1" applyFont="1" applyBorder="1" applyAlignment="1">
      <alignment horizontal="center"/>
    </xf>
    <xf numFmtId="49" fontId="0" fillId="0" borderId="6" xfId="1" applyNumberFormat="1" applyFont="1" applyBorder="1" applyAlignment="1">
      <alignment horizontal="center"/>
    </xf>
    <xf numFmtId="165" fontId="0" fillId="0" borderId="26" xfId="1" applyNumberFormat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2" fontId="0" fillId="0" borderId="26" xfId="1" applyNumberFormat="1" applyFont="1" applyBorder="1" applyAlignment="1">
      <alignment horizontal="center"/>
    </xf>
    <xf numFmtId="2" fontId="0" fillId="0" borderId="5" xfId="1" applyNumberFormat="1" applyFont="1" applyBorder="1" applyAlignment="1">
      <alignment horizontal="center"/>
    </xf>
    <xf numFmtId="2" fontId="0" fillId="0" borderId="6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0" fillId="0" borderId="3" xfId="1" applyFont="1" applyBorder="1"/>
    <xf numFmtId="0" fontId="0" fillId="0" borderId="6" xfId="1" applyFont="1" applyBorder="1"/>
    <xf numFmtId="2" fontId="0" fillId="0" borderId="13" xfId="1" applyNumberFormat="1" applyFont="1" applyBorder="1" applyAlignment="1">
      <alignment horizontal="center"/>
    </xf>
    <xf numFmtId="0" fontId="1" fillId="0" borderId="0" xfId="1" applyFont="1" applyAlignment="1">
      <alignment horizontal="left"/>
    </xf>
    <xf numFmtId="0" fontId="0" fillId="0" borderId="13" xfId="1" applyFont="1" applyBorder="1" applyAlignment="1">
      <alignment horizontal="center" wrapText="1" shrinkToFit="1"/>
    </xf>
    <xf numFmtId="0" fontId="0" fillId="0" borderId="1" xfId="1" applyFont="1" applyBorder="1" applyAlignment="1">
      <alignment horizontal="center" wrapText="1" shrinkToFit="1"/>
    </xf>
    <xf numFmtId="0" fontId="10" fillId="4" borderId="31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0" fillId="0" borderId="4" xfId="1" applyFont="1" applyBorder="1" applyAlignment="1">
      <alignment horizontal="center"/>
    </xf>
    <xf numFmtId="0" fontId="0" fillId="0" borderId="2" xfId="1" applyFont="1" applyBorder="1" applyAlignment="1">
      <alignment horizontal="center"/>
    </xf>
    <xf numFmtId="0" fontId="10" fillId="4" borderId="40" xfId="0" applyFont="1" applyFill="1" applyBorder="1" applyAlignment="1">
      <alignment horizontal="left"/>
    </xf>
    <xf numFmtId="0" fontId="0" fillId="0" borderId="37" xfId="1" applyFont="1" applyBorder="1" applyAlignment="1">
      <alignment horizontal="center" vertical="center"/>
    </xf>
    <xf numFmtId="0" fontId="0" fillId="0" borderId="35" xfId="1" applyFont="1" applyBorder="1" applyAlignment="1">
      <alignment horizontal="center" vertical="center"/>
    </xf>
    <xf numFmtId="0" fontId="0" fillId="0" borderId="36" xfId="1" applyFont="1" applyBorder="1" applyAlignment="1">
      <alignment horizontal="center" vertical="center"/>
    </xf>
    <xf numFmtId="0" fontId="0" fillId="0" borderId="34" xfId="1" applyFont="1" applyBorder="1" applyAlignment="1">
      <alignment horizontal="center" vertical="center"/>
    </xf>
    <xf numFmtId="0" fontId="0" fillId="0" borderId="38" xfId="1" applyFont="1" applyBorder="1" applyAlignment="1">
      <alignment horizontal="center" vertical="center"/>
    </xf>
    <xf numFmtId="0" fontId="0" fillId="0" borderId="25" xfId="1" applyFont="1" applyBorder="1" applyAlignment="1">
      <alignment horizontal="center"/>
    </xf>
    <xf numFmtId="0" fontId="0" fillId="0" borderId="14" xfId="1" applyFont="1" applyBorder="1" applyAlignment="1">
      <alignment horizontal="center" wrapText="1" shrinkToFit="1"/>
    </xf>
    <xf numFmtId="1" fontId="0" fillId="0" borderId="14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2" fontId="0" fillId="0" borderId="14" xfId="1" applyNumberFormat="1" applyFont="1" applyBorder="1" applyAlignment="1">
      <alignment horizontal="center"/>
    </xf>
    <xf numFmtId="49" fontId="0" fillId="0" borderId="14" xfId="1" applyNumberFormat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0" fontId="15" fillId="0" borderId="7" xfId="1" applyFont="1" applyBorder="1"/>
    <xf numFmtId="0" fontId="0" fillId="0" borderId="5" xfId="0" applyBorder="1" applyAlignment="1">
      <alignment horizontal="left"/>
    </xf>
  </cellXfs>
  <cellStyles count="12">
    <cellStyle name="Conclusion" xfId="5" xr:uid="{75EE322F-0AC0-4120-9413-6F1D2A460873}"/>
    <cellStyle name="HEADING" xfId="10" xr:uid="{471FC945-C994-446B-8096-2BB3193470CD}"/>
    <cellStyle name="Input 2" xfId="6" xr:uid="{9F189826-BD71-4F57-A09E-EA1F1522AB90}"/>
    <cellStyle name="Key Result" xfId="7" xr:uid="{C2AD18CB-4B28-4E71-B459-A7F0E433B7DA}"/>
    <cellStyle name="Key Result 2" xfId="11" xr:uid="{CD6A17E5-50C5-404C-BFFB-40093A54F8E2}"/>
    <cellStyle name="Normal" xfId="0" builtinId="0"/>
    <cellStyle name="Normal 2" xfId="2" xr:uid="{463F9CCC-6743-445D-9F7B-964522A3C27C}"/>
    <cellStyle name="Normal 3" xfId="4" xr:uid="{E06914C5-D43B-4A2D-BB3E-C465DF37C038}"/>
    <cellStyle name="Reference" xfId="8" xr:uid="{2B729C49-CE56-4F5A-8986-779D5CDE7729}"/>
    <cellStyle name="Standard 2" xfId="1" xr:uid="{32E77007-6BD5-446D-9265-CC6FB2B1BE11}"/>
    <cellStyle name="Standard 2 2" xfId="3" xr:uid="{F8A0E0FB-2E47-4E95-AB7C-E6553B4AE6D7}"/>
    <cellStyle name="Table Heading" xfId="9" xr:uid="{EF9CC9E3-7589-47B5-A4E6-2B0A2A5AA2F4}"/>
  </cellStyles>
  <dxfs count="13"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Buro Happold PivotTable" table="0" count="9" xr9:uid="{300A3917-80F0-4DA1-AE9E-512F4EABF55D}">
      <tableStyleElement type="wholeTable" dxfId="12"/>
      <tableStyleElement type="headerRow" dxfId="11"/>
      <tableStyleElement type="totalRow" dxfId="10"/>
      <tableStyleElement type="lastColumn" dxfId="9"/>
      <tableStyleElement type="secondRowStripe" dxfId="8"/>
      <tableStyleElement type="firstSubtotalColumn" dxfId="7"/>
      <tableStyleElement type="firstSubtotalRow" dxfId="6"/>
      <tableStyleElement type="firstColumnSubheading" dxfId="5"/>
      <tableStyleElement type="firstRowSubheading" dxfId="4"/>
    </tableStyle>
    <tableStyle name="Buro Happold Table" pivot="0" count="4" xr9:uid="{52950C4E-7233-4724-9376-42AED407E512}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257734</xdr:colOff>
      <xdr:row>1</xdr:row>
      <xdr:rowOff>22412</xdr:rowOff>
    </xdr:from>
    <xdr:to>
      <xdr:col>37</xdr:col>
      <xdr:colOff>205913</xdr:colOff>
      <xdr:row>4</xdr:row>
      <xdr:rowOff>132566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CA1F66-ABC8-4F5C-AD33-5E547ECC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3381" y="313765"/>
          <a:ext cx="1959523" cy="7193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3E83-23DE-459D-8AB8-6CA1795A5AD4}">
  <sheetPr>
    <pageSetUpPr fitToPage="1"/>
  </sheetPr>
  <dimension ref="A1:AR264"/>
  <sheetViews>
    <sheetView tabSelected="1" zoomScale="70" zoomScaleNormal="100" workbookViewId="0">
      <pane xSplit="6" ySplit="12" topLeftCell="G13" activePane="bottomRight" state="frozen"/>
      <selection pane="topRight" activeCell="D1" sqref="D1"/>
      <selection pane="bottomLeft" activeCell="A5" sqref="A5"/>
      <selection pane="bottomRight" activeCell="L12" sqref="L12:N12"/>
    </sheetView>
  </sheetViews>
  <sheetFormatPr defaultColWidth="11.42578125" defaultRowHeight="15" outlineLevelRow="1" x14ac:dyDescent="0.25"/>
  <cols>
    <col min="1" max="1" width="24.140625" customWidth="1"/>
    <col min="2" max="2" width="13.7109375" customWidth="1"/>
    <col min="3" max="3" width="4.7109375" style="17" customWidth="1"/>
    <col min="4" max="4" width="24.140625" style="29" customWidth="1"/>
    <col min="5" max="5" width="16.140625" style="29" customWidth="1"/>
    <col min="6" max="6" width="11.140625" style="17" customWidth="1"/>
    <col min="7" max="7" width="3" style="16" customWidth="1"/>
    <col min="8" max="8" width="5.7109375" style="17" customWidth="1"/>
    <col min="9" max="9" width="5.7109375" style="16" customWidth="1"/>
    <col min="10" max="10" width="5.7109375" style="17" customWidth="1"/>
    <col min="11" max="11" width="1.7109375" style="16" customWidth="1"/>
    <col min="12" max="12" width="5.7109375" style="17" customWidth="1"/>
    <col min="13" max="13" width="5.7109375" style="16" customWidth="1"/>
    <col min="14" max="14" width="5.7109375" style="17" customWidth="1"/>
    <col min="15" max="15" width="1.7109375" style="16" customWidth="1"/>
    <col min="16" max="16" width="5.7109375" style="17" customWidth="1"/>
    <col min="17" max="17" width="5.7109375" style="16" customWidth="1"/>
    <col min="18" max="18" width="5.7109375" style="17" customWidth="1"/>
    <col min="19" max="19" width="1.7109375" style="16" customWidth="1"/>
    <col min="20" max="20" width="5.7109375" style="17" customWidth="1"/>
    <col min="21" max="21" width="5.7109375" style="16" customWidth="1"/>
    <col min="22" max="22" width="5.7109375" style="17" customWidth="1"/>
    <col min="23" max="23" width="1.7109375" style="16" customWidth="1"/>
    <col min="24" max="24" width="5.7109375" style="17" customWidth="1"/>
    <col min="25" max="25" width="5.7109375" style="16" customWidth="1"/>
    <col min="26" max="26" width="5.7109375" style="17" customWidth="1"/>
    <col min="27" max="27" width="1.7109375" style="16" customWidth="1"/>
    <col min="28" max="28" width="5.7109375" style="17" customWidth="1"/>
    <col min="29" max="29" width="5.7109375" style="16" customWidth="1"/>
    <col min="30" max="30" width="5.7109375" style="17" customWidth="1"/>
    <col min="31" max="31" width="1.7109375" style="16" customWidth="1"/>
    <col min="32" max="32" width="5.7109375" style="17" customWidth="1"/>
    <col min="33" max="33" width="5.7109375" style="16" customWidth="1"/>
    <col min="34" max="34" width="5.7109375" style="17" customWidth="1"/>
    <col min="35" max="35" width="1.7109375" style="16" customWidth="1"/>
    <col min="36" max="36" width="5.7109375" style="17" customWidth="1"/>
    <col min="37" max="37" width="5.7109375" style="16" customWidth="1"/>
    <col min="38" max="38" width="5.7109375" style="17" customWidth="1"/>
    <col min="39" max="39" width="1.7109375" style="16" customWidth="1"/>
    <col min="40" max="40" width="12.85546875" style="17" customWidth="1"/>
    <col min="41" max="41" width="1.7109375" style="17" customWidth="1"/>
    <col min="42" max="42" width="12.85546875" style="17" customWidth="1"/>
    <col min="43" max="43" width="1.7109375" style="17" customWidth="1"/>
    <col min="44" max="16384" width="11.42578125" style="17"/>
  </cols>
  <sheetData>
    <row r="1" spans="1:42" ht="23.25" customHeight="1" thickBot="1" x14ac:dyDescent="0.3">
      <c r="A1" s="99" t="s">
        <v>465</v>
      </c>
      <c r="B1" s="100"/>
      <c r="C1" s="100"/>
      <c r="D1" s="100"/>
      <c r="E1" s="100"/>
      <c r="F1" s="101"/>
      <c r="G1" s="15"/>
      <c r="H1" s="104" t="s">
        <v>252</v>
      </c>
      <c r="I1" s="105"/>
      <c r="J1" s="105"/>
      <c r="K1" s="105"/>
      <c r="L1" s="105" t="s">
        <v>251</v>
      </c>
      <c r="M1" s="105"/>
      <c r="N1" s="105"/>
      <c r="O1" s="105"/>
      <c r="P1" s="105" t="s">
        <v>248</v>
      </c>
      <c r="Q1" s="105"/>
      <c r="R1" s="105"/>
      <c r="S1" s="105"/>
      <c r="T1" s="105" t="s">
        <v>249</v>
      </c>
      <c r="U1" s="105"/>
      <c r="V1" s="105"/>
      <c r="W1" s="92"/>
      <c r="X1" s="105" t="s">
        <v>254</v>
      </c>
      <c r="Y1" s="105"/>
      <c r="Z1" s="105"/>
      <c r="AA1" s="92"/>
      <c r="AB1" s="105" t="s">
        <v>255</v>
      </c>
      <c r="AC1" s="105"/>
      <c r="AD1" s="110"/>
      <c r="AE1" s="15"/>
      <c r="AF1" s="83"/>
      <c r="AG1" s="84"/>
      <c r="AH1" s="84"/>
      <c r="AI1" s="84"/>
      <c r="AJ1" s="84"/>
      <c r="AK1" s="84"/>
      <c r="AL1" s="85"/>
    </row>
    <row r="2" spans="1:42" ht="15" customHeight="1" thickBot="1" x14ac:dyDescent="0.3">
      <c r="A2" s="116"/>
      <c r="B2" s="117"/>
      <c r="C2" s="117"/>
      <c r="D2" s="117"/>
      <c r="E2" s="117"/>
      <c r="F2" s="118"/>
      <c r="H2" s="102" t="s">
        <v>253</v>
      </c>
      <c r="I2" s="103"/>
      <c r="J2" s="103"/>
      <c r="K2" s="108"/>
      <c r="L2" s="106" t="s">
        <v>250</v>
      </c>
      <c r="M2" s="106"/>
      <c r="N2" s="106"/>
      <c r="O2" s="108"/>
      <c r="P2" s="103"/>
      <c r="Q2" s="103"/>
      <c r="R2" s="103"/>
      <c r="S2" s="108"/>
      <c r="T2" s="103"/>
      <c r="U2" s="103"/>
      <c r="V2" s="103"/>
      <c r="W2" s="93"/>
      <c r="X2" s="103"/>
      <c r="Y2" s="103"/>
      <c r="Z2" s="103"/>
      <c r="AA2" s="93"/>
      <c r="AB2" s="103"/>
      <c r="AC2" s="103"/>
      <c r="AD2" s="111"/>
      <c r="AF2" s="86"/>
      <c r="AG2" s="87"/>
      <c r="AH2" s="87"/>
      <c r="AI2" s="87"/>
      <c r="AJ2" s="87"/>
      <c r="AK2" s="87"/>
      <c r="AL2" s="88"/>
    </row>
    <row r="3" spans="1:42" ht="15.75" x14ac:dyDescent="0.25">
      <c r="A3" s="9" t="s">
        <v>264</v>
      </c>
      <c r="B3" s="119" t="s">
        <v>262</v>
      </c>
      <c r="C3" s="119"/>
      <c r="D3" s="119"/>
      <c r="E3" s="119"/>
      <c r="F3" s="120"/>
      <c r="H3" s="102" t="s">
        <v>253</v>
      </c>
      <c r="I3" s="103"/>
      <c r="J3" s="103"/>
      <c r="K3" s="108"/>
      <c r="L3" s="106"/>
      <c r="M3" s="106"/>
      <c r="N3" s="106"/>
      <c r="O3" s="108"/>
      <c r="P3" s="103"/>
      <c r="Q3" s="103"/>
      <c r="R3" s="103"/>
      <c r="S3" s="108"/>
      <c r="T3" s="103"/>
      <c r="U3" s="103"/>
      <c r="V3" s="103"/>
      <c r="W3" s="93"/>
      <c r="X3" s="103"/>
      <c r="Y3" s="103"/>
      <c r="Z3" s="103"/>
      <c r="AA3" s="93"/>
      <c r="AB3" s="103"/>
      <c r="AC3" s="103"/>
      <c r="AD3" s="111"/>
      <c r="AF3" s="86"/>
      <c r="AG3" s="87"/>
      <c r="AH3" s="87"/>
      <c r="AI3" s="87"/>
      <c r="AJ3" s="87"/>
      <c r="AK3" s="87"/>
      <c r="AL3" s="88"/>
    </row>
    <row r="4" spans="1:42" ht="15.75" x14ac:dyDescent="0.25">
      <c r="A4" s="10" t="s">
        <v>268</v>
      </c>
      <c r="B4" s="129" t="s">
        <v>263</v>
      </c>
      <c r="C4" s="129"/>
      <c r="D4" s="129"/>
      <c r="E4" s="129"/>
      <c r="F4" s="130"/>
      <c r="H4" s="102" t="s">
        <v>253</v>
      </c>
      <c r="I4" s="103"/>
      <c r="J4" s="103"/>
      <c r="K4" s="108"/>
      <c r="L4" s="106"/>
      <c r="M4" s="106"/>
      <c r="N4" s="106"/>
      <c r="O4" s="108"/>
      <c r="P4" s="103"/>
      <c r="Q4" s="103"/>
      <c r="R4" s="103"/>
      <c r="S4" s="108"/>
      <c r="T4" s="103"/>
      <c r="U4" s="103"/>
      <c r="V4" s="103"/>
      <c r="W4" s="93"/>
      <c r="X4" s="103"/>
      <c r="Y4" s="103"/>
      <c r="Z4" s="103"/>
      <c r="AA4" s="93"/>
      <c r="AB4" s="103"/>
      <c r="AC4" s="103"/>
      <c r="AD4" s="111"/>
      <c r="AF4" s="86"/>
      <c r="AG4" s="87"/>
      <c r="AH4" s="87"/>
      <c r="AI4" s="87"/>
      <c r="AJ4" s="87"/>
      <c r="AK4" s="87"/>
      <c r="AL4" s="88"/>
    </row>
    <row r="5" spans="1:42" ht="15.75" x14ac:dyDescent="0.25">
      <c r="A5" s="10" t="s">
        <v>265</v>
      </c>
      <c r="B5" s="129" t="s">
        <v>269</v>
      </c>
      <c r="C5" s="129"/>
      <c r="D5" s="129"/>
      <c r="E5" s="129"/>
      <c r="F5" s="130"/>
      <c r="H5" s="102" t="s">
        <v>253</v>
      </c>
      <c r="I5" s="103"/>
      <c r="J5" s="103"/>
      <c r="K5" s="108"/>
      <c r="L5" s="106"/>
      <c r="M5" s="106"/>
      <c r="N5" s="106"/>
      <c r="O5" s="108"/>
      <c r="P5" s="103"/>
      <c r="Q5" s="103"/>
      <c r="R5" s="103"/>
      <c r="S5" s="108"/>
      <c r="T5" s="103"/>
      <c r="U5" s="103"/>
      <c r="V5" s="103"/>
      <c r="W5" s="93"/>
      <c r="X5" s="103"/>
      <c r="Y5" s="103"/>
      <c r="Z5" s="103"/>
      <c r="AA5" s="93"/>
      <c r="AB5" s="103"/>
      <c r="AC5" s="103"/>
      <c r="AD5" s="111"/>
      <c r="AF5" s="86"/>
      <c r="AG5" s="87"/>
      <c r="AH5" s="87"/>
      <c r="AI5" s="87"/>
      <c r="AJ5" s="87"/>
      <c r="AK5" s="87"/>
      <c r="AL5" s="88"/>
    </row>
    <row r="6" spans="1:42" ht="16.5" thickBot="1" x14ac:dyDescent="0.3">
      <c r="A6" s="11" t="s">
        <v>266</v>
      </c>
      <c r="B6" s="131" t="s">
        <v>263</v>
      </c>
      <c r="C6" s="131"/>
      <c r="D6" s="131"/>
      <c r="E6" s="131"/>
      <c r="F6" s="132"/>
      <c r="G6" s="20"/>
      <c r="H6" s="102" t="s">
        <v>253</v>
      </c>
      <c r="I6" s="103"/>
      <c r="J6" s="103"/>
      <c r="K6" s="109"/>
      <c r="L6" s="107"/>
      <c r="M6" s="107"/>
      <c r="N6" s="107"/>
      <c r="O6" s="109"/>
      <c r="P6" s="112"/>
      <c r="Q6" s="112"/>
      <c r="R6" s="112"/>
      <c r="S6" s="109"/>
      <c r="T6" s="112"/>
      <c r="U6" s="112"/>
      <c r="V6" s="112"/>
      <c r="W6" s="94"/>
      <c r="X6" s="112"/>
      <c r="Y6" s="112"/>
      <c r="Z6" s="112"/>
      <c r="AA6" s="94"/>
      <c r="AB6" s="112"/>
      <c r="AC6" s="112"/>
      <c r="AD6" s="113"/>
      <c r="AE6" s="20"/>
      <c r="AF6" s="89"/>
      <c r="AG6" s="90"/>
      <c r="AH6" s="90"/>
      <c r="AI6" s="90"/>
      <c r="AJ6" s="90"/>
      <c r="AK6" s="90"/>
      <c r="AL6" s="91"/>
    </row>
    <row r="7" spans="1:42" ht="15.75" thickBot="1" x14ac:dyDescent="0.3">
      <c r="A7" s="95"/>
      <c r="B7" s="96"/>
      <c r="C7" s="96"/>
      <c r="D7" s="96"/>
      <c r="E7" s="96"/>
      <c r="F7" s="96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8"/>
    </row>
    <row r="8" spans="1:42" ht="15" customHeight="1" thickBot="1" x14ac:dyDescent="0.3">
      <c r="A8" s="152" t="s">
        <v>245</v>
      </c>
      <c r="B8" s="153"/>
      <c r="C8" s="22"/>
      <c r="D8" s="152" t="s">
        <v>0</v>
      </c>
      <c r="E8" s="186"/>
      <c r="F8" s="12" t="s">
        <v>247</v>
      </c>
      <c r="G8" s="8"/>
      <c r="H8" s="181">
        <v>1</v>
      </c>
      <c r="I8" s="182"/>
      <c r="J8" s="183"/>
      <c r="K8" s="23"/>
      <c r="L8" s="181">
        <v>2</v>
      </c>
      <c r="M8" s="182"/>
      <c r="N8" s="183"/>
      <c r="O8" s="23"/>
      <c r="P8" s="181">
        <v>3</v>
      </c>
      <c r="Q8" s="182"/>
      <c r="R8" s="183"/>
      <c r="S8" s="24"/>
      <c r="T8" s="181">
        <v>4</v>
      </c>
      <c r="U8" s="182"/>
      <c r="V8" s="183"/>
      <c r="W8" s="24"/>
      <c r="X8" s="181">
        <v>5</v>
      </c>
      <c r="Y8" s="182"/>
      <c r="Z8" s="183"/>
      <c r="AA8" s="24"/>
      <c r="AB8" s="181">
        <v>6</v>
      </c>
      <c r="AC8" s="182"/>
      <c r="AD8" s="183"/>
      <c r="AE8" s="24"/>
      <c r="AF8" s="181">
        <v>7</v>
      </c>
      <c r="AG8" s="182"/>
      <c r="AH8" s="183"/>
      <c r="AI8" s="24"/>
      <c r="AJ8" s="181">
        <v>8</v>
      </c>
      <c r="AK8" s="182"/>
      <c r="AL8" s="183"/>
    </row>
    <row r="9" spans="1:42" ht="15" customHeight="1" thickBot="1" x14ac:dyDescent="0.3">
      <c r="A9" s="154" t="s">
        <v>450</v>
      </c>
      <c r="B9" s="155"/>
      <c r="D9" s="199" t="s">
        <v>451</v>
      </c>
      <c r="E9" s="199"/>
      <c r="F9" s="61" t="s">
        <v>247</v>
      </c>
      <c r="G9" s="62"/>
      <c r="H9" s="190"/>
      <c r="I9" s="188"/>
      <c r="J9" s="189"/>
      <c r="K9" s="15"/>
      <c r="L9" s="187"/>
      <c r="M9" s="188"/>
      <c r="N9" s="189"/>
      <c r="O9" s="15"/>
      <c r="P9" s="187"/>
      <c r="Q9" s="188"/>
      <c r="R9" s="189"/>
      <c r="S9" s="58"/>
      <c r="T9" s="187"/>
      <c r="U9" s="188"/>
      <c r="V9" s="189"/>
      <c r="W9" s="58"/>
      <c r="X9" s="187"/>
      <c r="Y9" s="188"/>
      <c r="Z9" s="189"/>
      <c r="AA9" s="58"/>
      <c r="AB9" s="187"/>
      <c r="AC9" s="188"/>
      <c r="AD9" s="189"/>
      <c r="AE9" s="58"/>
      <c r="AF9" s="187"/>
      <c r="AG9" s="188"/>
      <c r="AH9" s="189"/>
      <c r="AI9" s="58"/>
      <c r="AJ9" s="187"/>
      <c r="AK9" s="188"/>
      <c r="AL9" s="191"/>
    </row>
    <row r="10" spans="1:42" ht="15" customHeight="1" x14ac:dyDescent="0.25">
      <c r="A10" s="154" t="s">
        <v>97</v>
      </c>
      <c r="B10" s="155"/>
      <c r="D10" s="82" t="s">
        <v>1</v>
      </c>
      <c r="E10" s="82"/>
      <c r="F10" s="13" t="s">
        <v>247</v>
      </c>
      <c r="H10" s="190"/>
      <c r="I10" s="188"/>
      <c r="J10" s="189"/>
      <c r="K10" s="15"/>
      <c r="L10" s="187"/>
      <c r="M10" s="188"/>
      <c r="N10" s="189"/>
      <c r="O10" s="15"/>
      <c r="P10" s="187"/>
      <c r="Q10" s="188"/>
      <c r="R10" s="189"/>
      <c r="S10" s="58"/>
      <c r="T10" s="187"/>
      <c r="U10" s="188"/>
      <c r="V10" s="189"/>
      <c r="W10" s="58"/>
      <c r="X10" s="187"/>
      <c r="Y10" s="188"/>
      <c r="Z10" s="189"/>
      <c r="AA10" s="58"/>
      <c r="AB10" s="187"/>
      <c r="AC10" s="188"/>
      <c r="AD10" s="189"/>
      <c r="AE10" s="58"/>
      <c r="AF10" s="187"/>
      <c r="AG10" s="188"/>
      <c r="AH10" s="189"/>
      <c r="AI10" s="58"/>
      <c r="AJ10" s="187"/>
      <c r="AK10" s="188"/>
      <c r="AL10" s="191"/>
      <c r="AM10" s="25"/>
      <c r="AN10" s="2"/>
      <c r="AP10" s="26"/>
    </row>
    <row r="11" spans="1:42" ht="15" customHeight="1" x14ac:dyDescent="0.25">
      <c r="A11" s="137" t="s">
        <v>98</v>
      </c>
      <c r="B11" s="138"/>
      <c r="D11" s="82" t="s">
        <v>2</v>
      </c>
      <c r="E11" s="82"/>
      <c r="F11" s="14" t="s">
        <v>247</v>
      </c>
      <c r="H11" s="125"/>
      <c r="I11" s="126"/>
      <c r="J11" s="127"/>
      <c r="L11" s="128"/>
      <c r="M11" s="126"/>
      <c r="N11" s="127"/>
      <c r="P11" s="128"/>
      <c r="Q11" s="126"/>
      <c r="R11" s="127"/>
      <c r="T11" s="128"/>
      <c r="U11" s="126"/>
      <c r="V11" s="127"/>
      <c r="X11" s="128"/>
      <c r="Y11" s="126"/>
      <c r="Z11" s="127"/>
      <c r="AB11" s="128"/>
      <c r="AC11" s="126"/>
      <c r="AD11" s="127"/>
      <c r="AF11" s="128"/>
      <c r="AG11" s="126"/>
      <c r="AH11" s="127"/>
      <c r="AJ11" s="128"/>
      <c r="AK11" s="126"/>
      <c r="AL11" s="192"/>
    </row>
    <row r="12" spans="1:42" ht="15" customHeight="1" x14ac:dyDescent="0.25">
      <c r="A12" s="137" t="s">
        <v>99</v>
      </c>
      <c r="B12" s="138"/>
      <c r="D12" s="82" t="s">
        <v>3</v>
      </c>
      <c r="E12" s="82"/>
      <c r="F12" s="14" t="s">
        <v>247</v>
      </c>
      <c r="H12" s="86"/>
      <c r="I12" s="87"/>
      <c r="J12" s="184"/>
      <c r="L12" s="185"/>
      <c r="M12" s="87"/>
      <c r="N12" s="184"/>
      <c r="P12" s="185"/>
      <c r="Q12" s="87"/>
      <c r="R12" s="184"/>
      <c r="T12" s="185"/>
      <c r="U12" s="87"/>
      <c r="V12" s="184"/>
      <c r="X12" s="185"/>
      <c r="Y12" s="87"/>
      <c r="Z12" s="184"/>
      <c r="AB12" s="185"/>
      <c r="AC12" s="87"/>
      <c r="AD12" s="184"/>
      <c r="AF12" s="185"/>
      <c r="AG12" s="87"/>
      <c r="AH12" s="184"/>
      <c r="AJ12" s="185"/>
      <c r="AK12" s="87"/>
      <c r="AL12" s="88"/>
      <c r="AP12" s="27"/>
    </row>
    <row r="13" spans="1:42" ht="15" customHeight="1" x14ac:dyDescent="0.25">
      <c r="A13" s="135" t="s">
        <v>100</v>
      </c>
      <c r="B13" s="136"/>
      <c r="D13" s="80" t="s">
        <v>4</v>
      </c>
      <c r="E13" s="80"/>
      <c r="F13" s="14" t="s">
        <v>247</v>
      </c>
      <c r="H13" s="81"/>
      <c r="I13" s="78"/>
      <c r="J13" s="78"/>
      <c r="L13" s="78"/>
      <c r="M13" s="78"/>
      <c r="N13" s="78"/>
      <c r="P13" s="78"/>
      <c r="Q13" s="78"/>
      <c r="R13" s="78"/>
      <c r="T13" s="78"/>
      <c r="U13" s="78"/>
      <c r="V13" s="78"/>
      <c r="X13" s="78"/>
      <c r="Y13" s="78"/>
      <c r="Z13" s="78"/>
      <c r="AB13" s="78"/>
      <c r="AC13" s="78"/>
      <c r="AD13" s="78"/>
      <c r="AF13" s="78"/>
      <c r="AG13" s="78"/>
      <c r="AH13" s="78"/>
      <c r="AJ13" s="78"/>
      <c r="AK13" s="78"/>
      <c r="AL13" s="79"/>
    </row>
    <row r="14" spans="1:42" ht="15" customHeight="1" x14ac:dyDescent="0.25">
      <c r="A14" s="135" t="s">
        <v>101</v>
      </c>
      <c r="B14" s="136"/>
      <c r="D14" s="80" t="s">
        <v>5</v>
      </c>
      <c r="E14" s="80"/>
      <c r="F14" s="14" t="s">
        <v>247</v>
      </c>
      <c r="H14" s="81"/>
      <c r="I14" s="78"/>
      <c r="J14" s="78"/>
      <c r="L14" s="78"/>
      <c r="M14" s="78"/>
      <c r="N14" s="78"/>
      <c r="P14" s="78"/>
      <c r="Q14" s="78"/>
      <c r="R14" s="78"/>
      <c r="T14" s="78"/>
      <c r="U14" s="78"/>
      <c r="V14" s="78"/>
      <c r="X14" s="78"/>
      <c r="Y14" s="78"/>
      <c r="Z14" s="78"/>
      <c r="AB14" s="78"/>
      <c r="AC14" s="78"/>
      <c r="AD14" s="78"/>
      <c r="AF14" s="78"/>
      <c r="AG14" s="78"/>
      <c r="AH14" s="78"/>
      <c r="AJ14" s="78"/>
      <c r="AK14" s="78"/>
      <c r="AL14" s="79"/>
    </row>
    <row r="15" spans="1:42" ht="15" customHeight="1" x14ac:dyDescent="0.25">
      <c r="A15" s="157"/>
      <c r="B15" s="158"/>
      <c r="D15" s="87"/>
      <c r="E15" s="87"/>
      <c r="F15" s="19"/>
      <c r="H15" s="18"/>
      <c r="AL15" s="19"/>
    </row>
    <row r="16" spans="1:42" ht="15" customHeight="1" x14ac:dyDescent="0.25">
      <c r="A16" s="135" t="s">
        <v>102</v>
      </c>
      <c r="B16" s="136"/>
      <c r="D16" s="80" t="s">
        <v>6</v>
      </c>
      <c r="E16" s="80"/>
      <c r="F16" s="14" t="s">
        <v>247</v>
      </c>
      <c r="H16" s="179"/>
      <c r="I16" s="180"/>
      <c r="J16" s="180"/>
      <c r="L16" s="180"/>
      <c r="M16" s="180"/>
      <c r="N16" s="180"/>
      <c r="P16" s="180"/>
      <c r="Q16" s="180"/>
      <c r="R16" s="180"/>
      <c r="T16" s="180"/>
      <c r="U16" s="180"/>
      <c r="V16" s="180"/>
      <c r="X16" s="180"/>
      <c r="Y16" s="180"/>
      <c r="Z16" s="180"/>
      <c r="AB16" s="180"/>
      <c r="AC16" s="180"/>
      <c r="AD16" s="180"/>
      <c r="AF16" s="180"/>
      <c r="AG16" s="180"/>
      <c r="AH16" s="180"/>
      <c r="AJ16" s="180"/>
      <c r="AK16" s="180"/>
      <c r="AL16" s="193"/>
    </row>
    <row r="17" spans="1:42" ht="15" customHeight="1" x14ac:dyDescent="0.25">
      <c r="A17" s="135" t="s">
        <v>174</v>
      </c>
      <c r="B17" s="136"/>
      <c r="D17" s="80" t="s">
        <v>246</v>
      </c>
      <c r="E17" s="80"/>
      <c r="F17" s="14" t="s">
        <v>247</v>
      </c>
      <c r="H17" s="179"/>
      <c r="I17" s="180"/>
      <c r="J17" s="180"/>
      <c r="L17" s="180"/>
      <c r="M17" s="180"/>
      <c r="N17" s="180"/>
      <c r="P17" s="180"/>
      <c r="Q17" s="180"/>
      <c r="R17" s="180"/>
      <c r="T17" s="180"/>
      <c r="U17" s="180"/>
      <c r="V17" s="180"/>
      <c r="X17" s="180"/>
      <c r="Y17" s="180"/>
      <c r="Z17" s="180"/>
      <c r="AB17" s="180"/>
      <c r="AC17" s="180"/>
      <c r="AD17" s="180"/>
      <c r="AF17" s="180"/>
      <c r="AG17" s="180"/>
      <c r="AH17" s="180"/>
      <c r="AJ17" s="180"/>
      <c r="AK17" s="180"/>
      <c r="AL17" s="193"/>
    </row>
    <row r="18" spans="1:42" ht="15" customHeight="1" x14ac:dyDescent="0.25">
      <c r="A18" s="135" t="s">
        <v>407</v>
      </c>
      <c r="B18" s="136"/>
      <c r="D18" s="80" t="s">
        <v>406</v>
      </c>
      <c r="E18" s="80"/>
      <c r="F18" s="14" t="s">
        <v>26</v>
      </c>
      <c r="H18" s="179"/>
      <c r="I18" s="180"/>
      <c r="J18" s="180"/>
      <c r="L18" s="180"/>
      <c r="M18" s="180"/>
      <c r="N18" s="180"/>
      <c r="P18" s="180"/>
      <c r="Q18" s="180"/>
      <c r="R18" s="180"/>
      <c r="T18" s="180"/>
      <c r="U18" s="180"/>
      <c r="V18" s="180"/>
      <c r="X18" s="180"/>
      <c r="Y18" s="180"/>
      <c r="Z18" s="180"/>
      <c r="AB18" s="180"/>
      <c r="AC18" s="180"/>
      <c r="AD18" s="180"/>
      <c r="AF18" s="180"/>
      <c r="AG18" s="180"/>
      <c r="AH18" s="180"/>
      <c r="AJ18" s="180"/>
      <c r="AK18" s="180"/>
      <c r="AL18" s="193"/>
    </row>
    <row r="19" spans="1:42" ht="15" customHeight="1" x14ac:dyDescent="0.25">
      <c r="A19" s="135" t="s">
        <v>103</v>
      </c>
      <c r="B19" s="136"/>
      <c r="D19" s="80" t="s">
        <v>7</v>
      </c>
      <c r="E19" s="80"/>
      <c r="F19" s="14" t="s">
        <v>247</v>
      </c>
      <c r="H19" s="81"/>
      <c r="I19" s="78"/>
      <c r="J19" s="78"/>
      <c r="L19" s="78"/>
      <c r="M19" s="78"/>
      <c r="N19" s="78"/>
      <c r="P19" s="78"/>
      <c r="Q19" s="78"/>
      <c r="R19" s="78"/>
      <c r="T19" s="78"/>
      <c r="U19" s="78"/>
      <c r="V19" s="78"/>
      <c r="X19" s="78"/>
      <c r="Y19" s="78"/>
      <c r="Z19" s="78"/>
      <c r="AB19" s="78"/>
      <c r="AC19" s="78"/>
      <c r="AD19" s="78"/>
      <c r="AF19" s="78"/>
      <c r="AG19" s="78"/>
      <c r="AH19" s="78"/>
      <c r="AJ19" s="78"/>
      <c r="AK19" s="78"/>
      <c r="AL19" s="79"/>
    </row>
    <row r="20" spans="1:42" ht="15" customHeight="1" x14ac:dyDescent="0.25">
      <c r="A20" s="137" t="s">
        <v>104</v>
      </c>
      <c r="B20" s="138"/>
      <c r="D20" s="82" t="s">
        <v>8</v>
      </c>
      <c r="E20" s="82"/>
      <c r="F20" s="14" t="s">
        <v>247</v>
      </c>
      <c r="H20" s="81"/>
      <c r="I20" s="78"/>
      <c r="J20" s="78"/>
      <c r="L20" s="78"/>
      <c r="M20" s="78"/>
      <c r="N20" s="78"/>
      <c r="P20" s="78"/>
      <c r="Q20" s="78"/>
      <c r="R20" s="78"/>
      <c r="T20" s="78"/>
      <c r="U20" s="78"/>
      <c r="V20" s="78"/>
      <c r="X20" s="78"/>
      <c r="Y20" s="78"/>
      <c r="Z20" s="78"/>
      <c r="AB20" s="78"/>
      <c r="AC20" s="78"/>
      <c r="AD20" s="78"/>
      <c r="AF20" s="78"/>
      <c r="AG20" s="78"/>
      <c r="AH20" s="78"/>
      <c r="AJ20" s="78"/>
      <c r="AK20" s="78"/>
      <c r="AL20" s="79"/>
    </row>
    <row r="21" spans="1:42" ht="15" customHeight="1" x14ac:dyDescent="0.25">
      <c r="A21" s="142"/>
      <c r="B21" s="143"/>
      <c r="F21" s="19"/>
      <c r="H21" s="18"/>
      <c r="I21" s="17"/>
      <c r="M21" s="17"/>
      <c r="Q21" s="17"/>
      <c r="U21" s="17"/>
      <c r="Y21" s="17"/>
      <c r="AC21" s="17"/>
      <c r="AG21" s="17"/>
      <c r="AK21" s="17"/>
      <c r="AL21" s="19"/>
    </row>
    <row r="22" spans="1:42" ht="15" customHeight="1" x14ac:dyDescent="0.25">
      <c r="A22" s="139" t="s">
        <v>433</v>
      </c>
      <c r="B22" s="140"/>
      <c r="D22" s="178" t="s">
        <v>436</v>
      </c>
      <c r="E22" s="178"/>
      <c r="F22" s="19"/>
      <c r="H22" s="18"/>
      <c r="AL22" s="19"/>
    </row>
    <row r="23" spans="1:42" ht="15" customHeight="1" x14ac:dyDescent="0.25">
      <c r="A23" s="135" t="s">
        <v>105</v>
      </c>
      <c r="B23" s="136"/>
      <c r="D23" s="80" t="s">
        <v>9</v>
      </c>
      <c r="E23" s="80"/>
      <c r="F23" s="14" t="s">
        <v>247</v>
      </c>
      <c r="H23" s="81"/>
      <c r="I23" s="78"/>
      <c r="J23" s="78"/>
      <c r="L23" s="78"/>
      <c r="M23" s="78"/>
      <c r="N23" s="78"/>
      <c r="P23" s="78"/>
      <c r="Q23" s="78"/>
      <c r="R23" s="78"/>
      <c r="T23" s="78"/>
      <c r="U23" s="78"/>
      <c r="V23" s="78"/>
      <c r="X23" s="78"/>
      <c r="Y23" s="78"/>
      <c r="Z23" s="78"/>
      <c r="AB23" s="78"/>
      <c r="AC23" s="78"/>
      <c r="AD23" s="78"/>
      <c r="AF23" s="78"/>
      <c r="AG23" s="78"/>
      <c r="AH23" s="78"/>
      <c r="AJ23" s="78"/>
      <c r="AK23" s="78"/>
      <c r="AL23" s="79"/>
    </row>
    <row r="24" spans="1:42" ht="15" customHeight="1" x14ac:dyDescent="0.25">
      <c r="A24" s="135" t="s">
        <v>106</v>
      </c>
      <c r="B24" s="136"/>
      <c r="D24" s="82" t="s">
        <v>201</v>
      </c>
      <c r="E24" s="82"/>
      <c r="F24" s="14" t="s">
        <v>247</v>
      </c>
      <c r="H24" s="125"/>
      <c r="I24" s="126"/>
      <c r="J24" s="127"/>
      <c r="L24" s="78"/>
      <c r="M24" s="78"/>
      <c r="N24" s="78"/>
      <c r="P24" s="78"/>
      <c r="Q24" s="78"/>
      <c r="R24" s="78"/>
      <c r="T24" s="78"/>
      <c r="U24" s="78"/>
      <c r="V24" s="78"/>
      <c r="X24" s="78"/>
      <c r="Y24" s="78"/>
      <c r="Z24" s="78"/>
      <c r="AB24" s="78"/>
      <c r="AC24" s="78"/>
      <c r="AD24" s="78"/>
      <c r="AF24" s="78"/>
      <c r="AG24" s="78"/>
      <c r="AH24" s="78"/>
      <c r="AJ24" s="78"/>
      <c r="AK24" s="78"/>
      <c r="AL24" s="79"/>
    </row>
    <row r="25" spans="1:42" ht="15" customHeight="1" x14ac:dyDescent="0.25">
      <c r="A25" s="137" t="s">
        <v>107</v>
      </c>
      <c r="B25" s="138"/>
      <c r="D25" s="82" t="s">
        <v>10</v>
      </c>
      <c r="E25" s="82"/>
      <c r="F25" s="14" t="s">
        <v>11</v>
      </c>
      <c r="H25" s="81"/>
      <c r="I25" s="78"/>
      <c r="J25" s="78"/>
      <c r="L25" s="78"/>
      <c r="M25" s="78"/>
      <c r="N25" s="78"/>
      <c r="P25" s="78"/>
      <c r="Q25" s="78"/>
      <c r="R25" s="78"/>
      <c r="T25" s="78"/>
      <c r="U25" s="78"/>
      <c r="V25" s="78"/>
      <c r="X25" s="78"/>
      <c r="Y25" s="78"/>
      <c r="Z25" s="78"/>
      <c r="AB25" s="78"/>
      <c r="AC25" s="78"/>
      <c r="AD25" s="78"/>
      <c r="AF25" s="78"/>
      <c r="AG25" s="78"/>
      <c r="AH25" s="78"/>
      <c r="AJ25" s="78"/>
      <c r="AK25" s="78"/>
      <c r="AL25" s="79"/>
    </row>
    <row r="26" spans="1:42" ht="15" customHeight="1" x14ac:dyDescent="0.25">
      <c r="A26" s="137" t="s">
        <v>108</v>
      </c>
      <c r="B26" s="138"/>
      <c r="D26" s="82" t="s">
        <v>12</v>
      </c>
      <c r="E26" s="82"/>
      <c r="F26" s="14" t="s">
        <v>13</v>
      </c>
      <c r="H26" s="81"/>
      <c r="I26" s="78"/>
      <c r="J26" s="78"/>
      <c r="L26" s="78"/>
      <c r="M26" s="78"/>
      <c r="N26" s="78"/>
      <c r="P26" s="78"/>
      <c r="Q26" s="78"/>
      <c r="R26" s="78"/>
      <c r="T26" s="78"/>
      <c r="U26" s="78"/>
      <c r="V26" s="78"/>
      <c r="X26" s="78"/>
      <c r="Y26" s="78"/>
      <c r="Z26" s="78"/>
      <c r="AB26" s="78"/>
      <c r="AC26" s="78"/>
      <c r="AD26" s="78"/>
      <c r="AF26" s="78"/>
      <c r="AG26" s="78"/>
      <c r="AH26" s="78"/>
      <c r="AJ26" s="78"/>
      <c r="AK26" s="78"/>
      <c r="AL26" s="79"/>
    </row>
    <row r="27" spans="1:42" s="16" customFormat="1" ht="15" customHeight="1" x14ac:dyDescent="0.25">
      <c r="A27" s="137" t="s">
        <v>109</v>
      </c>
      <c r="B27" s="138"/>
      <c r="C27" s="17"/>
      <c r="D27" s="82" t="s">
        <v>14</v>
      </c>
      <c r="E27" s="82"/>
      <c r="F27" s="14" t="s">
        <v>15</v>
      </c>
      <c r="H27" s="177"/>
      <c r="I27" s="174"/>
      <c r="J27" s="174"/>
      <c r="L27" s="78"/>
      <c r="M27" s="78"/>
      <c r="N27" s="78"/>
      <c r="P27" s="78"/>
      <c r="Q27" s="78"/>
      <c r="R27" s="78"/>
      <c r="T27" s="78"/>
      <c r="U27" s="78"/>
      <c r="V27" s="78"/>
      <c r="X27" s="78"/>
      <c r="Y27" s="78"/>
      <c r="Z27" s="78"/>
      <c r="AB27" s="78"/>
      <c r="AC27" s="78"/>
      <c r="AD27" s="78"/>
      <c r="AF27" s="78"/>
      <c r="AG27" s="78"/>
      <c r="AH27" s="78"/>
      <c r="AJ27" s="78"/>
      <c r="AK27" s="78"/>
      <c r="AL27" s="79"/>
      <c r="AN27" s="17"/>
      <c r="AO27" s="17"/>
      <c r="AP27" s="17"/>
    </row>
    <row r="28" spans="1:42" s="16" customFormat="1" ht="15" customHeight="1" x14ac:dyDescent="0.25">
      <c r="A28" s="137" t="s">
        <v>110</v>
      </c>
      <c r="B28" s="138"/>
      <c r="C28" s="17"/>
      <c r="D28" s="82" t="s">
        <v>16</v>
      </c>
      <c r="E28" s="82"/>
      <c r="F28" s="14" t="s">
        <v>17</v>
      </c>
      <c r="H28" s="81"/>
      <c r="I28" s="78"/>
      <c r="J28" s="78"/>
      <c r="L28" s="78"/>
      <c r="M28" s="78"/>
      <c r="N28" s="78"/>
      <c r="P28" s="78"/>
      <c r="Q28" s="78"/>
      <c r="R28" s="78"/>
      <c r="T28" s="78"/>
      <c r="U28" s="78"/>
      <c r="V28" s="78"/>
      <c r="X28" s="78"/>
      <c r="Y28" s="78"/>
      <c r="Z28" s="78"/>
      <c r="AB28" s="78"/>
      <c r="AC28" s="78"/>
      <c r="AD28" s="78"/>
      <c r="AF28" s="78"/>
      <c r="AG28" s="78"/>
      <c r="AH28" s="78"/>
      <c r="AJ28" s="78"/>
      <c r="AK28" s="78"/>
      <c r="AL28" s="79"/>
      <c r="AN28" s="17"/>
      <c r="AO28" s="17"/>
      <c r="AP28" s="17"/>
    </row>
    <row r="29" spans="1:42" s="16" customFormat="1" ht="15" customHeight="1" x14ac:dyDescent="0.25">
      <c r="A29" s="137" t="s">
        <v>18</v>
      </c>
      <c r="B29" s="138"/>
      <c r="C29" s="17"/>
      <c r="D29" s="82" t="s">
        <v>18</v>
      </c>
      <c r="E29" s="82"/>
      <c r="F29" s="14" t="s">
        <v>19</v>
      </c>
      <c r="H29" s="81"/>
      <c r="I29" s="78"/>
      <c r="J29" s="78"/>
      <c r="L29" s="78"/>
      <c r="M29" s="78"/>
      <c r="N29" s="78"/>
      <c r="P29" s="78"/>
      <c r="Q29" s="78"/>
      <c r="R29" s="78"/>
      <c r="T29" s="78"/>
      <c r="U29" s="78"/>
      <c r="V29" s="78"/>
      <c r="X29" s="78"/>
      <c r="Y29" s="78"/>
      <c r="Z29" s="78"/>
      <c r="AB29" s="78"/>
      <c r="AC29" s="78"/>
      <c r="AD29" s="78"/>
      <c r="AF29" s="78"/>
      <c r="AG29" s="78"/>
      <c r="AH29" s="78"/>
      <c r="AJ29" s="78"/>
      <c r="AK29" s="78"/>
      <c r="AL29" s="79"/>
      <c r="AN29" s="17"/>
      <c r="AO29" s="17"/>
      <c r="AP29" s="17"/>
    </row>
    <row r="30" spans="1:42" s="16" customFormat="1" ht="15" customHeight="1" x14ac:dyDescent="0.25">
      <c r="A30" s="137" t="s">
        <v>111</v>
      </c>
      <c r="B30" s="138"/>
      <c r="C30" s="17"/>
      <c r="D30" s="82" t="s">
        <v>20</v>
      </c>
      <c r="E30" s="82"/>
      <c r="F30" s="14" t="s">
        <v>21</v>
      </c>
      <c r="H30" s="81"/>
      <c r="I30" s="78"/>
      <c r="J30" s="78"/>
      <c r="L30" s="78"/>
      <c r="M30" s="78"/>
      <c r="N30" s="78"/>
      <c r="P30" s="78"/>
      <c r="Q30" s="78"/>
      <c r="R30" s="78"/>
      <c r="T30" s="78"/>
      <c r="U30" s="78"/>
      <c r="V30" s="78"/>
      <c r="X30" s="78"/>
      <c r="Y30" s="78"/>
      <c r="Z30" s="78"/>
      <c r="AB30" s="78"/>
      <c r="AC30" s="78"/>
      <c r="AD30" s="78"/>
      <c r="AF30" s="78"/>
      <c r="AG30" s="78"/>
      <c r="AH30" s="78"/>
      <c r="AJ30" s="78"/>
      <c r="AK30" s="78"/>
      <c r="AL30" s="79"/>
      <c r="AN30" s="17"/>
      <c r="AO30" s="17"/>
      <c r="AP30" s="17"/>
    </row>
    <row r="31" spans="1:42" s="16" customFormat="1" ht="15" customHeight="1" x14ac:dyDescent="0.25">
      <c r="A31" s="137" t="s">
        <v>112</v>
      </c>
      <c r="B31" s="138"/>
      <c r="C31" s="17"/>
      <c r="D31" s="82" t="s">
        <v>22</v>
      </c>
      <c r="E31" s="82"/>
      <c r="F31" s="14" t="s">
        <v>23</v>
      </c>
      <c r="H31" s="81"/>
      <c r="I31" s="78"/>
      <c r="J31" s="78"/>
      <c r="L31" s="78"/>
      <c r="M31" s="78"/>
      <c r="N31" s="78"/>
      <c r="P31" s="78"/>
      <c r="Q31" s="78"/>
      <c r="R31" s="78"/>
      <c r="T31" s="78"/>
      <c r="U31" s="78"/>
      <c r="V31" s="78"/>
      <c r="X31" s="78"/>
      <c r="Y31" s="78"/>
      <c r="Z31" s="78"/>
      <c r="AB31" s="78"/>
      <c r="AC31" s="78"/>
      <c r="AD31" s="78"/>
      <c r="AF31" s="78"/>
      <c r="AG31" s="78"/>
      <c r="AH31" s="78"/>
      <c r="AJ31" s="78"/>
      <c r="AK31" s="78"/>
      <c r="AL31" s="79"/>
      <c r="AN31" s="17"/>
      <c r="AO31" s="17"/>
      <c r="AP31" s="17"/>
    </row>
    <row r="32" spans="1:42" s="16" customFormat="1" ht="15" customHeight="1" x14ac:dyDescent="0.25">
      <c r="A32" s="137" t="s">
        <v>113</v>
      </c>
      <c r="B32" s="138"/>
      <c r="C32" s="17"/>
      <c r="D32" s="82" t="s">
        <v>24</v>
      </c>
      <c r="E32" s="82"/>
      <c r="F32" s="14" t="s">
        <v>23</v>
      </c>
      <c r="H32" s="81"/>
      <c r="I32" s="78"/>
      <c r="J32" s="78"/>
      <c r="L32" s="78"/>
      <c r="M32" s="78"/>
      <c r="N32" s="78"/>
      <c r="P32" s="78"/>
      <c r="Q32" s="78"/>
      <c r="R32" s="78"/>
      <c r="T32" s="78"/>
      <c r="U32" s="78"/>
      <c r="V32" s="78"/>
      <c r="X32" s="78"/>
      <c r="Y32" s="78"/>
      <c r="Z32" s="78"/>
      <c r="AB32" s="78"/>
      <c r="AC32" s="78"/>
      <c r="AD32" s="78"/>
      <c r="AF32" s="78"/>
      <c r="AG32" s="78"/>
      <c r="AH32" s="78"/>
      <c r="AJ32" s="78"/>
      <c r="AK32" s="78"/>
      <c r="AL32" s="79"/>
      <c r="AN32" s="17"/>
      <c r="AO32" s="17"/>
      <c r="AP32" s="17"/>
    </row>
    <row r="33" spans="1:42" s="16" customFormat="1" ht="15" customHeight="1" x14ac:dyDescent="0.25">
      <c r="A33" s="137" t="s">
        <v>114</v>
      </c>
      <c r="B33" s="138"/>
      <c r="C33" s="17"/>
      <c r="D33" s="82" t="s">
        <v>25</v>
      </c>
      <c r="E33" s="82"/>
      <c r="F33" s="14" t="s">
        <v>26</v>
      </c>
      <c r="H33" s="81"/>
      <c r="I33" s="78"/>
      <c r="J33" s="78"/>
      <c r="L33" s="78"/>
      <c r="M33" s="78"/>
      <c r="N33" s="78"/>
      <c r="P33" s="78"/>
      <c r="Q33" s="78"/>
      <c r="R33" s="78"/>
      <c r="T33" s="78"/>
      <c r="U33" s="78"/>
      <c r="V33" s="78"/>
      <c r="X33" s="78"/>
      <c r="Y33" s="78"/>
      <c r="Z33" s="78"/>
      <c r="AB33" s="78"/>
      <c r="AC33" s="78"/>
      <c r="AD33" s="78"/>
      <c r="AF33" s="78"/>
      <c r="AG33" s="78"/>
      <c r="AH33" s="78"/>
      <c r="AJ33" s="78"/>
      <c r="AK33" s="78"/>
      <c r="AL33" s="79"/>
      <c r="AN33" s="17"/>
      <c r="AO33" s="17"/>
      <c r="AP33" s="17"/>
    </row>
    <row r="34" spans="1:42" s="16" customFormat="1" ht="15" customHeight="1" x14ac:dyDescent="0.25">
      <c r="A34" s="137" t="s">
        <v>115</v>
      </c>
      <c r="B34" s="138"/>
      <c r="C34" s="17"/>
      <c r="D34" s="82" t="s">
        <v>27</v>
      </c>
      <c r="E34" s="82"/>
      <c r="F34" s="14" t="s">
        <v>26</v>
      </c>
      <c r="H34" s="81"/>
      <c r="I34" s="78"/>
      <c r="J34" s="78"/>
      <c r="L34" s="78"/>
      <c r="M34" s="78"/>
      <c r="N34" s="78"/>
      <c r="P34" s="78"/>
      <c r="Q34" s="78"/>
      <c r="R34" s="78"/>
      <c r="T34" s="78"/>
      <c r="U34" s="78"/>
      <c r="V34" s="78"/>
      <c r="X34" s="78"/>
      <c r="Y34" s="78"/>
      <c r="Z34" s="78"/>
      <c r="AB34" s="78"/>
      <c r="AC34" s="78"/>
      <c r="AD34" s="78"/>
      <c r="AF34" s="78"/>
      <c r="AG34" s="78"/>
      <c r="AH34" s="78"/>
      <c r="AJ34" s="78"/>
      <c r="AK34" s="78"/>
      <c r="AL34" s="79"/>
      <c r="AN34" s="17"/>
      <c r="AO34" s="17"/>
      <c r="AP34" s="17"/>
    </row>
    <row r="35" spans="1:42" s="16" customFormat="1" ht="15" customHeight="1" x14ac:dyDescent="0.25">
      <c r="A35" s="137" t="s">
        <v>116</v>
      </c>
      <c r="B35" s="138"/>
      <c r="C35" s="17"/>
      <c r="D35" s="82" t="s">
        <v>202</v>
      </c>
      <c r="E35" s="82"/>
      <c r="F35" s="14" t="s">
        <v>26</v>
      </c>
      <c r="H35" s="81"/>
      <c r="I35" s="78"/>
      <c r="J35" s="78"/>
      <c r="L35" s="78"/>
      <c r="M35" s="78"/>
      <c r="N35" s="78"/>
      <c r="P35" s="78"/>
      <c r="Q35" s="78"/>
      <c r="R35" s="78"/>
      <c r="T35" s="78"/>
      <c r="U35" s="78"/>
      <c r="V35" s="78"/>
      <c r="X35" s="78"/>
      <c r="Y35" s="78"/>
      <c r="Z35" s="78"/>
      <c r="AB35" s="78"/>
      <c r="AC35" s="78"/>
      <c r="AD35" s="78"/>
      <c r="AF35" s="78"/>
      <c r="AG35" s="78"/>
      <c r="AH35" s="78"/>
      <c r="AJ35" s="78"/>
      <c r="AK35" s="78"/>
      <c r="AL35" s="79"/>
      <c r="AN35" s="17"/>
      <c r="AO35" s="17"/>
      <c r="AP35" s="17"/>
    </row>
    <row r="36" spans="1:42" s="16" customFormat="1" ht="15" customHeight="1" x14ac:dyDescent="0.25">
      <c r="A36" s="142"/>
      <c r="B36" s="143"/>
      <c r="C36" s="17"/>
      <c r="D36" s="87"/>
      <c r="E36" s="87"/>
      <c r="F36" s="19"/>
      <c r="H36" s="18"/>
      <c r="J36" s="17"/>
      <c r="L36" s="17"/>
      <c r="N36" s="17"/>
      <c r="P36" s="17"/>
      <c r="R36" s="17"/>
      <c r="T36" s="17"/>
      <c r="V36" s="17"/>
      <c r="X36" s="17"/>
      <c r="Z36" s="17"/>
      <c r="AB36" s="17"/>
      <c r="AD36" s="17"/>
      <c r="AF36" s="17"/>
      <c r="AH36" s="17"/>
      <c r="AJ36" s="17"/>
      <c r="AL36" s="19"/>
      <c r="AN36" s="17"/>
      <c r="AO36" s="17"/>
      <c r="AP36" s="17"/>
    </row>
    <row r="37" spans="1:42" s="16" customFormat="1" ht="15" customHeight="1" x14ac:dyDescent="0.25">
      <c r="A37" s="139" t="s">
        <v>434</v>
      </c>
      <c r="B37" s="140"/>
      <c r="C37" s="17"/>
      <c r="D37" s="140" t="s">
        <v>435</v>
      </c>
      <c r="E37" s="140"/>
      <c r="F37" s="19"/>
      <c r="H37" s="18"/>
      <c r="J37" s="17"/>
      <c r="L37" s="17"/>
      <c r="N37" s="17"/>
      <c r="P37" s="17"/>
      <c r="R37" s="17"/>
      <c r="T37" s="17"/>
      <c r="V37" s="17"/>
      <c r="X37" s="17"/>
      <c r="Z37" s="17"/>
      <c r="AB37" s="17"/>
      <c r="AD37" s="17"/>
      <c r="AF37" s="17"/>
      <c r="AH37" s="17"/>
      <c r="AJ37" s="17"/>
      <c r="AL37" s="19"/>
      <c r="AN37" s="17"/>
      <c r="AO37" s="17"/>
      <c r="AP37" s="17"/>
    </row>
    <row r="38" spans="1:42" s="16" customFormat="1" ht="15" customHeight="1" x14ac:dyDescent="0.25">
      <c r="A38" s="137" t="s">
        <v>439</v>
      </c>
      <c r="B38" s="137"/>
      <c r="C38" s="17"/>
      <c r="D38" s="82" t="s">
        <v>452</v>
      </c>
      <c r="E38" s="82"/>
      <c r="F38" s="19" t="s">
        <v>247</v>
      </c>
      <c r="H38" s="18"/>
      <c r="J38" s="17"/>
      <c r="L38" s="17"/>
      <c r="N38" s="17"/>
      <c r="P38" s="17"/>
      <c r="R38" s="17"/>
      <c r="T38" s="17"/>
      <c r="V38" s="17"/>
      <c r="X38" s="17"/>
      <c r="Z38" s="17"/>
      <c r="AB38" s="17"/>
      <c r="AD38" s="17"/>
      <c r="AF38" s="17"/>
      <c r="AH38" s="17"/>
      <c r="AJ38" s="17"/>
      <c r="AL38" s="19"/>
      <c r="AN38" s="17"/>
      <c r="AO38" s="17"/>
      <c r="AP38" s="17"/>
    </row>
    <row r="39" spans="1:42" s="16" customFormat="1" ht="15" customHeight="1" x14ac:dyDescent="0.25">
      <c r="A39" s="137" t="s">
        <v>440</v>
      </c>
      <c r="B39" s="138"/>
      <c r="C39" s="17"/>
      <c r="D39" s="82" t="s">
        <v>28</v>
      </c>
      <c r="E39" s="82"/>
      <c r="F39" s="14" t="s">
        <v>29</v>
      </c>
      <c r="H39" s="81"/>
      <c r="I39" s="78"/>
      <c r="J39" s="78"/>
      <c r="L39" s="78"/>
      <c r="M39" s="78"/>
      <c r="N39" s="78"/>
      <c r="P39" s="78"/>
      <c r="Q39" s="78"/>
      <c r="R39" s="78"/>
      <c r="T39" s="78"/>
      <c r="U39" s="78"/>
      <c r="V39" s="78"/>
      <c r="X39" s="78"/>
      <c r="Y39" s="78"/>
      <c r="Z39" s="78"/>
      <c r="AB39" s="78"/>
      <c r="AC39" s="78"/>
      <c r="AD39" s="78"/>
      <c r="AF39" s="78"/>
      <c r="AG39" s="78"/>
      <c r="AH39" s="78"/>
      <c r="AJ39" s="78"/>
      <c r="AK39" s="78"/>
      <c r="AL39" s="79"/>
      <c r="AN39" s="17"/>
      <c r="AO39" s="17"/>
      <c r="AP39" s="17"/>
    </row>
    <row r="40" spans="1:42" s="16" customFormat="1" ht="15" customHeight="1" x14ac:dyDescent="0.25">
      <c r="A40" s="137" t="s">
        <v>117</v>
      </c>
      <c r="B40" s="138"/>
      <c r="C40" s="17"/>
      <c r="D40" s="82" t="s">
        <v>30</v>
      </c>
      <c r="E40" s="82"/>
      <c r="F40" s="14" t="s">
        <v>29</v>
      </c>
      <c r="H40" s="81"/>
      <c r="I40" s="78"/>
      <c r="J40" s="78"/>
      <c r="L40" s="78"/>
      <c r="M40" s="78"/>
      <c r="N40" s="78"/>
      <c r="P40" s="78"/>
      <c r="Q40" s="78"/>
      <c r="R40" s="78"/>
      <c r="T40" s="78"/>
      <c r="U40" s="78"/>
      <c r="V40" s="78"/>
      <c r="X40" s="78"/>
      <c r="Y40" s="78"/>
      <c r="Z40" s="78"/>
      <c r="AB40" s="78"/>
      <c r="AC40" s="78"/>
      <c r="AD40" s="78"/>
      <c r="AF40" s="78"/>
      <c r="AG40" s="78"/>
      <c r="AH40" s="78"/>
      <c r="AJ40" s="78"/>
      <c r="AK40" s="78"/>
      <c r="AL40" s="79"/>
      <c r="AN40" s="17"/>
      <c r="AO40" s="17"/>
      <c r="AP40" s="17"/>
    </row>
    <row r="41" spans="1:42" s="16" customFormat="1" ht="15" customHeight="1" x14ac:dyDescent="0.25">
      <c r="A41" s="137" t="s">
        <v>118</v>
      </c>
      <c r="B41" s="138"/>
      <c r="C41" s="17"/>
      <c r="D41" s="82" t="s">
        <v>31</v>
      </c>
      <c r="E41" s="82"/>
      <c r="F41" s="14" t="s">
        <v>29</v>
      </c>
      <c r="H41" s="81"/>
      <c r="I41" s="78"/>
      <c r="J41" s="78"/>
      <c r="L41" s="78"/>
      <c r="M41" s="78"/>
      <c r="N41" s="78"/>
      <c r="P41" s="78"/>
      <c r="Q41" s="78"/>
      <c r="R41" s="78"/>
      <c r="T41" s="78"/>
      <c r="U41" s="78"/>
      <c r="V41" s="78"/>
      <c r="X41" s="78"/>
      <c r="Y41" s="78"/>
      <c r="Z41" s="78"/>
      <c r="AB41" s="78"/>
      <c r="AC41" s="78"/>
      <c r="AD41" s="78"/>
      <c r="AF41" s="78"/>
      <c r="AG41" s="78"/>
      <c r="AH41" s="78"/>
      <c r="AJ41" s="78"/>
      <c r="AK41" s="78"/>
      <c r="AL41" s="79"/>
      <c r="AN41" s="17"/>
      <c r="AO41" s="17"/>
      <c r="AP41" s="17"/>
    </row>
    <row r="42" spans="1:42" s="16" customFormat="1" ht="15" customHeight="1" x14ac:dyDescent="0.25">
      <c r="A42" s="137" t="s">
        <v>119</v>
      </c>
      <c r="B42" s="138"/>
      <c r="C42" s="17"/>
      <c r="D42" s="82" t="s">
        <v>32</v>
      </c>
      <c r="E42" s="82"/>
      <c r="F42" s="14" t="s">
        <v>29</v>
      </c>
      <c r="H42" s="81"/>
      <c r="I42" s="78"/>
      <c r="J42" s="78"/>
      <c r="L42" s="78"/>
      <c r="M42" s="78"/>
      <c r="N42" s="78"/>
      <c r="P42" s="78"/>
      <c r="Q42" s="78"/>
      <c r="R42" s="78"/>
      <c r="T42" s="78"/>
      <c r="U42" s="78"/>
      <c r="V42" s="78"/>
      <c r="X42" s="78"/>
      <c r="Y42" s="78"/>
      <c r="Z42" s="78"/>
      <c r="AB42" s="78"/>
      <c r="AC42" s="78"/>
      <c r="AD42" s="78"/>
      <c r="AF42" s="78"/>
      <c r="AG42" s="78"/>
      <c r="AH42" s="78"/>
      <c r="AJ42" s="78"/>
      <c r="AK42" s="78"/>
      <c r="AL42" s="79"/>
      <c r="AN42" s="17"/>
      <c r="AO42" s="17"/>
      <c r="AP42" s="17"/>
    </row>
    <row r="43" spans="1:42" s="16" customFormat="1" ht="15" customHeight="1" x14ac:dyDescent="0.25">
      <c r="A43" s="137" t="s">
        <v>120</v>
      </c>
      <c r="B43" s="138"/>
      <c r="C43" s="17"/>
      <c r="D43" s="175" t="s">
        <v>33</v>
      </c>
      <c r="E43" s="176"/>
      <c r="F43" s="14" t="s">
        <v>29</v>
      </c>
      <c r="H43" s="125"/>
      <c r="I43" s="126"/>
      <c r="J43" s="127"/>
      <c r="L43" s="128"/>
      <c r="M43" s="126"/>
      <c r="N43" s="127"/>
      <c r="P43" s="128"/>
      <c r="Q43" s="126"/>
      <c r="R43" s="127"/>
      <c r="T43" s="128"/>
      <c r="U43" s="126"/>
      <c r="V43" s="127"/>
      <c r="X43" s="128"/>
      <c r="Y43" s="126"/>
      <c r="Z43" s="127"/>
      <c r="AB43" s="128"/>
      <c r="AC43" s="126"/>
      <c r="AD43" s="127"/>
      <c r="AF43" s="128"/>
      <c r="AG43" s="126"/>
      <c r="AH43" s="127"/>
      <c r="AJ43" s="128"/>
      <c r="AK43" s="126"/>
      <c r="AL43" s="192"/>
      <c r="AN43" s="17"/>
      <c r="AO43" s="17"/>
      <c r="AP43" s="17"/>
    </row>
    <row r="44" spans="1:42" s="16" customFormat="1" ht="15" customHeight="1" x14ac:dyDescent="0.25">
      <c r="A44" s="137" t="s">
        <v>121</v>
      </c>
      <c r="B44" s="138"/>
      <c r="C44" s="17"/>
      <c r="D44" s="175" t="s">
        <v>204</v>
      </c>
      <c r="E44" s="176"/>
      <c r="F44" s="14" t="s">
        <v>29</v>
      </c>
      <c r="H44" s="125"/>
      <c r="I44" s="126"/>
      <c r="J44" s="127"/>
      <c r="L44" s="128"/>
      <c r="M44" s="126"/>
      <c r="N44" s="127"/>
      <c r="P44" s="128"/>
      <c r="Q44" s="126"/>
      <c r="R44" s="127"/>
      <c r="T44" s="128"/>
      <c r="U44" s="126"/>
      <c r="V44" s="127"/>
      <c r="X44" s="128"/>
      <c r="Y44" s="126"/>
      <c r="Z44" s="127"/>
      <c r="AB44" s="128"/>
      <c r="AC44" s="126"/>
      <c r="AD44" s="127"/>
      <c r="AF44" s="128"/>
      <c r="AG44" s="126"/>
      <c r="AH44" s="127"/>
      <c r="AJ44" s="128"/>
      <c r="AK44" s="126"/>
      <c r="AL44" s="192"/>
      <c r="AN44" s="17"/>
      <c r="AO44" s="17"/>
      <c r="AP44" s="17"/>
    </row>
    <row r="45" spans="1:42" s="16" customFormat="1" ht="15" customHeight="1" x14ac:dyDescent="0.25">
      <c r="A45" s="137" t="s">
        <v>122</v>
      </c>
      <c r="B45" s="138"/>
      <c r="C45" s="17"/>
      <c r="D45" s="82" t="s">
        <v>203</v>
      </c>
      <c r="E45" s="82"/>
      <c r="F45" s="14" t="s">
        <v>29</v>
      </c>
      <c r="H45" s="81"/>
      <c r="I45" s="78"/>
      <c r="J45" s="78"/>
      <c r="L45" s="78"/>
      <c r="M45" s="78"/>
      <c r="N45" s="78"/>
      <c r="P45" s="78"/>
      <c r="Q45" s="78"/>
      <c r="R45" s="78"/>
      <c r="T45" s="78"/>
      <c r="U45" s="78"/>
      <c r="V45" s="78"/>
      <c r="X45" s="78"/>
      <c r="Y45" s="78"/>
      <c r="Z45" s="78"/>
      <c r="AB45" s="78"/>
      <c r="AC45" s="78"/>
      <c r="AD45" s="78"/>
      <c r="AF45" s="78"/>
      <c r="AG45" s="78"/>
      <c r="AH45" s="78"/>
      <c r="AJ45" s="78"/>
      <c r="AK45" s="78"/>
      <c r="AL45" s="79"/>
      <c r="AN45" s="17"/>
      <c r="AO45" s="17"/>
      <c r="AP45" s="17"/>
    </row>
    <row r="46" spans="1:42" s="16" customFormat="1" ht="15" customHeight="1" x14ac:dyDescent="0.25">
      <c r="A46" s="137" t="s">
        <v>123</v>
      </c>
      <c r="B46" s="138"/>
      <c r="C46" s="17"/>
      <c r="D46" s="175" t="s">
        <v>205</v>
      </c>
      <c r="E46" s="176"/>
      <c r="F46" s="14" t="s">
        <v>29</v>
      </c>
      <c r="H46" s="125"/>
      <c r="I46" s="126"/>
      <c r="J46" s="127"/>
      <c r="L46" s="128"/>
      <c r="M46" s="126"/>
      <c r="N46" s="127"/>
      <c r="P46" s="128"/>
      <c r="Q46" s="126"/>
      <c r="R46" s="127"/>
      <c r="T46" s="128"/>
      <c r="U46" s="126"/>
      <c r="V46" s="127"/>
      <c r="X46" s="128"/>
      <c r="Y46" s="126"/>
      <c r="Z46" s="127"/>
      <c r="AB46" s="128"/>
      <c r="AC46" s="126"/>
      <c r="AD46" s="127"/>
      <c r="AF46" s="128"/>
      <c r="AG46" s="126"/>
      <c r="AH46" s="127"/>
      <c r="AJ46" s="128"/>
      <c r="AK46" s="126"/>
      <c r="AL46" s="192"/>
      <c r="AN46" s="17"/>
      <c r="AO46" s="17"/>
      <c r="AP46" s="17"/>
    </row>
    <row r="47" spans="1:42" s="16" customFormat="1" ht="15" customHeight="1" x14ac:dyDescent="0.25">
      <c r="A47" s="137" t="s">
        <v>124</v>
      </c>
      <c r="B47" s="138"/>
      <c r="C47" s="17"/>
      <c r="D47" s="82" t="s">
        <v>34</v>
      </c>
      <c r="E47" s="82"/>
      <c r="F47" s="14" t="s">
        <v>247</v>
      </c>
      <c r="H47" s="81"/>
      <c r="I47" s="78"/>
      <c r="J47" s="78"/>
      <c r="L47" s="78"/>
      <c r="M47" s="78"/>
      <c r="N47" s="78"/>
      <c r="P47" s="78"/>
      <c r="Q47" s="78"/>
      <c r="R47" s="78"/>
      <c r="T47" s="78"/>
      <c r="U47" s="78"/>
      <c r="V47" s="78"/>
      <c r="X47" s="78"/>
      <c r="Y47" s="78"/>
      <c r="Z47" s="78"/>
      <c r="AB47" s="78"/>
      <c r="AC47" s="78"/>
      <c r="AD47" s="78"/>
      <c r="AF47" s="78"/>
      <c r="AG47" s="78"/>
      <c r="AH47" s="78"/>
      <c r="AJ47" s="78"/>
      <c r="AK47" s="78"/>
      <c r="AL47" s="79"/>
      <c r="AN47" s="17"/>
      <c r="AO47" s="17"/>
      <c r="AP47" s="17"/>
    </row>
    <row r="48" spans="1:42" s="16" customFormat="1" ht="15" customHeight="1" x14ac:dyDescent="0.25">
      <c r="A48" s="137" t="s">
        <v>281</v>
      </c>
      <c r="B48" s="138"/>
      <c r="C48" s="17"/>
      <c r="D48" s="82" t="s">
        <v>282</v>
      </c>
      <c r="E48" s="82"/>
      <c r="F48" s="14" t="s">
        <v>247</v>
      </c>
      <c r="H48" s="81"/>
      <c r="I48" s="78"/>
      <c r="J48" s="78"/>
      <c r="L48" s="78"/>
      <c r="M48" s="78"/>
      <c r="N48" s="78"/>
      <c r="P48" s="78"/>
      <c r="Q48" s="78"/>
      <c r="R48" s="78"/>
      <c r="T48" s="78"/>
      <c r="U48" s="78"/>
      <c r="V48" s="78"/>
      <c r="X48" s="78"/>
      <c r="Y48" s="78"/>
      <c r="Z48" s="78"/>
      <c r="AB48" s="78"/>
      <c r="AC48" s="78"/>
      <c r="AD48" s="78"/>
      <c r="AF48" s="78"/>
      <c r="AG48" s="78"/>
      <c r="AH48" s="78"/>
      <c r="AJ48" s="78"/>
      <c r="AK48" s="78"/>
      <c r="AL48" s="79"/>
      <c r="AN48" s="17"/>
      <c r="AO48" s="17"/>
      <c r="AP48" s="17"/>
    </row>
    <row r="49" spans="1:42" s="16" customFormat="1" ht="15" customHeight="1" x14ac:dyDescent="0.25">
      <c r="A49" s="148" t="s">
        <v>125</v>
      </c>
      <c r="B49" s="149"/>
      <c r="C49" s="17"/>
      <c r="D49" s="82" t="s">
        <v>209</v>
      </c>
      <c r="E49" s="82"/>
      <c r="F49" s="14" t="s">
        <v>247</v>
      </c>
      <c r="H49" s="81"/>
      <c r="I49" s="78"/>
      <c r="J49" s="78"/>
      <c r="L49" s="78"/>
      <c r="M49" s="78"/>
      <c r="N49" s="78"/>
      <c r="P49" s="78"/>
      <c r="Q49" s="78"/>
      <c r="R49" s="78"/>
      <c r="T49" s="78"/>
      <c r="U49" s="78"/>
      <c r="V49" s="78"/>
      <c r="X49" s="78"/>
      <c r="Y49" s="78"/>
      <c r="Z49" s="78"/>
      <c r="AB49" s="78"/>
      <c r="AC49" s="78"/>
      <c r="AD49" s="78"/>
      <c r="AF49" s="78"/>
      <c r="AG49" s="78"/>
      <c r="AH49" s="78"/>
      <c r="AJ49" s="78"/>
      <c r="AK49" s="78"/>
      <c r="AL49" s="79"/>
      <c r="AN49" s="17"/>
      <c r="AO49" s="17"/>
      <c r="AP49" s="17"/>
    </row>
    <row r="50" spans="1:42" s="16" customFormat="1" ht="15" customHeight="1" x14ac:dyDescent="0.25">
      <c r="A50" s="148" t="s">
        <v>126</v>
      </c>
      <c r="B50" s="149"/>
      <c r="C50" s="17"/>
      <c r="D50" s="82" t="s">
        <v>208</v>
      </c>
      <c r="E50" s="82"/>
      <c r="F50" s="14" t="s">
        <v>247</v>
      </c>
      <c r="H50" s="81"/>
      <c r="I50" s="78"/>
      <c r="J50" s="78"/>
      <c r="L50" s="78"/>
      <c r="M50" s="78"/>
      <c r="N50" s="78"/>
      <c r="P50" s="78"/>
      <c r="Q50" s="78"/>
      <c r="R50" s="78"/>
      <c r="T50" s="78"/>
      <c r="U50" s="78"/>
      <c r="V50" s="78"/>
      <c r="X50" s="78"/>
      <c r="Y50" s="78"/>
      <c r="Z50" s="78"/>
      <c r="AB50" s="78"/>
      <c r="AC50" s="78"/>
      <c r="AD50" s="78"/>
      <c r="AF50" s="78"/>
      <c r="AG50" s="78"/>
      <c r="AH50" s="78"/>
      <c r="AJ50" s="78"/>
      <c r="AK50" s="78"/>
      <c r="AL50" s="79"/>
      <c r="AN50" s="17"/>
      <c r="AO50" s="17"/>
      <c r="AP50" s="17"/>
    </row>
    <row r="51" spans="1:42" s="16" customFormat="1" ht="15" customHeight="1" x14ac:dyDescent="0.25">
      <c r="A51" s="148" t="s">
        <v>127</v>
      </c>
      <c r="B51" s="149"/>
      <c r="C51" s="17"/>
      <c r="D51" s="82" t="s">
        <v>207</v>
      </c>
      <c r="E51" s="82"/>
      <c r="F51" s="14" t="s">
        <v>247</v>
      </c>
      <c r="H51" s="81"/>
      <c r="I51" s="78"/>
      <c r="J51" s="78"/>
      <c r="L51" s="78"/>
      <c r="M51" s="78"/>
      <c r="N51" s="78"/>
      <c r="P51" s="78"/>
      <c r="Q51" s="78"/>
      <c r="R51" s="78"/>
      <c r="T51" s="78"/>
      <c r="U51" s="78"/>
      <c r="V51" s="78"/>
      <c r="X51" s="78"/>
      <c r="Y51" s="78"/>
      <c r="Z51" s="78"/>
      <c r="AB51" s="78"/>
      <c r="AC51" s="78"/>
      <c r="AD51" s="78"/>
      <c r="AF51" s="78"/>
      <c r="AG51" s="78"/>
      <c r="AH51" s="78"/>
      <c r="AJ51" s="78"/>
      <c r="AK51" s="78"/>
      <c r="AL51" s="79"/>
      <c r="AN51" s="17"/>
      <c r="AO51" s="17"/>
      <c r="AP51" s="17"/>
    </row>
    <row r="52" spans="1:42" s="16" customFormat="1" ht="15" customHeight="1" x14ac:dyDescent="0.25">
      <c r="A52" s="148" t="s">
        <v>128</v>
      </c>
      <c r="B52" s="149"/>
      <c r="C52" s="17"/>
      <c r="D52" s="82" t="s">
        <v>206</v>
      </c>
      <c r="E52" s="82"/>
      <c r="F52" s="14" t="s">
        <v>247</v>
      </c>
      <c r="H52" s="81"/>
      <c r="I52" s="78"/>
      <c r="J52" s="78"/>
      <c r="L52" s="78"/>
      <c r="M52" s="78"/>
      <c r="N52" s="78"/>
      <c r="P52" s="78"/>
      <c r="Q52" s="78"/>
      <c r="R52" s="78"/>
      <c r="T52" s="78"/>
      <c r="U52" s="78"/>
      <c r="V52" s="78"/>
      <c r="X52" s="78"/>
      <c r="Y52" s="78"/>
      <c r="Z52" s="78"/>
      <c r="AB52" s="78"/>
      <c r="AC52" s="78"/>
      <c r="AD52" s="78"/>
      <c r="AF52" s="78"/>
      <c r="AG52" s="78"/>
      <c r="AH52" s="78"/>
      <c r="AJ52" s="78"/>
      <c r="AK52" s="78"/>
      <c r="AL52" s="79"/>
      <c r="AN52" s="17"/>
      <c r="AO52" s="17"/>
      <c r="AP52" s="17"/>
    </row>
    <row r="53" spans="1:42" s="16" customFormat="1" ht="15" customHeight="1" x14ac:dyDescent="0.25">
      <c r="A53" s="121" t="s">
        <v>424</v>
      </c>
      <c r="B53" s="122"/>
      <c r="C53" s="17"/>
      <c r="D53" s="80" t="s">
        <v>426</v>
      </c>
      <c r="E53" s="80"/>
      <c r="F53" s="14" t="s">
        <v>247</v>
      </c>
      <c r="H53" s="81"/>
      <c r="I53" s="78"/>
      <c r="J53" s="78"/>
      <c r="L53" s="78"/>
      <c r="M53" s="78"/>
      <c r="N53" s="78"/>
      <c r="P53" s="78"/>
      <c r="Q53" s="78"/>
      <c r="R53" s="78"/>
      <c r="T53" s="78"/>
      <c r="U53" s="78"/>
      <c r="V53" s="78"/>
      <c r="X53" s="78"/>
      <c r="Y53" s="78"/>
      <c r="Z53" s="78"/>
      <c r="AB53" s="78"/>
      <c r="AC53" s="78"/>
      <c r="AD53" s="78"/>
      <c r="AF53" s="78"/>
      <c r="AG53" s="78"/>
      <c r="AH53" s="78"/>
      <c r="AJ53" s="78"/>
      <c r="AK53" s="78"/>
      <c r="AL53" s="79"/>
      <c r="AN53" s="17"/>
      <c r="AO53" s="17"/>
      <c r="AP53" s="17"/>
    </row>
    <row r="54" spans="1:42" s="16" customFormat="1" ht="15" customHeight="1" x14ac:dyDescent="0.25">
      <c r="A54" s="121" t="s">
        <v>425</v>
      </c>
      <c r="B54" s="122"/>
      <c r="C54" s="17"/>
      <c r="D54" s="80" t="s">
        <v>427</v>
      </c>
      <c r="E54" s="80"/>
      <c r="F54" s="14" t="s">
        <v>247</v>
      </c>
      <c r="H54" s="81"/>
      <c r="I54" s="78"/>
      <c r="J54" s="78"/>
      <c r="L54" s="78"/>
      <c r="M54" s="78"/>
      <c r="N54" s="78"/>
      <c r="P54" s="78"/>
      <c r="Q54" s="78"/>
      <c r="R54" s="78"/>
      <c r="T54" s="78"/>
      <c r="U54" s="78"/>
      <c r="V54" s="78"/>
      <c r="X54" s="78"/>
      <c r="Y54" s="78"/>
      <c r="Z54" s="78"/>
      <c r="AB54" s="78"/>
      <c r="AC54" s="78"/>
      <c r="AD54" s="78"/>
      <c r="AF54" s="78"/>
      <c r="AG54" s="78"/>
      <c r="AH54" s="78"/>
      <c r="AJ54" s="78"/>
      <c r="AK54" s="78"/>
      <c r="AL54" s="79"/>
      <c r="AN54" s="17"/>
      <c r="AO54" s="17"/>
      <c r="AP54" s="17"/>
    </row>
    <row r="55" spans="1:42" s="16" customFormat="1" ht="15" customHeight="1" x14ac:dyDescent="0.25">
      <c r="A55" s="137" t="s">
        <v>441</v>
      </c>
      <c r="B55" s="137"/>
      <c r="C55" s="17"/>
      <c r="D55" s="200" t="s">
        <v>455</v>
      </c>
      <c r="E55" s="134"/>
      <c r="F55" s="14"/>
      <c r="H55" s="125"/>
      <c r="I55" s="126"/>
      <c r="J55" s="127"/>
      <c r="L55" s="78"/>
      <c r="M55" s="78"/>
      <c r="N55" s="78"/>
      <c r="P55" s="78"/>
      <c r="Q55" s="78"/>
      <c r="R55" s="78"/>
      <c r="T55" s="78"/>
      <c r="U55" s="78"/>
      <c r="V55" s="78"/>
      <c r="X55" s="78"/>
      <c r="Y55" s="78"/>
      <c r="Z55" s="78"/>
      <c r="AB55" s="78"/>
      <c r="AC55" s="78"/>
      <c r="AD55" s="78"/>
      <c r="AF55" s="78"/>
      <c r="AG55" s="78"/>
      <c r="AH55" s="78"/>
      <c r="AJ55" s="78"/>
      <c r="AK55" s="78"/>
      <c r="AL55" s="79"/>
      <c r="AN55" s="17"/>
      <c r="AO55" s="17"/>
      <c r="AP55" s="17"/>
    </row>
    <row r="56" spans="1:42" s="16" customFormat="1" x14ac:dyDescent="0.25">
      <c r="A56" s="150" t="s">
        <v>442</v>
      </c>
      <c r="B56" s="151"/>
      <c r="C56" s="17"/>
      <c r="D56" s="82" t="s">
        <v>453</v>
      </c>
      <c r="E56" s="82"/>
      <c r="F56" s="14" t="s">
        <v>29</v>
      </c>
      <c r="H56" s="81"/>
      <c r="I56" s="78"/>
      <c r="J56" s="78"/>
      <c r="L56" s="78"/>
      <c r="M56" s="78"/>
      <c r="N56" s="78"/>
      <c r="P56" s="78"/>
      <c r="Q56" s="78"/>
      <c r="R56" s="78"/>
      <c r="T56" s="78"/>
      <c r="U56" s="78"/>
      <c r="V56" s="78"/>
      <c r="X56" s="78"/>
      <c r="Y56" s="78"/>
      <c r="Z56" s="78"/>
      <c r="AB56" s="78"/>
      <c r="AC56" s="78"/>
      <c r="AD56" s="78"/>
      <c r="AF56" s="78"/>
      <c r="AG56" s="78"/>
      <c r="AH56" s="78"/>
      <c r="AJ56" s="78"/>
      <c r="AK56" s="78"/>
      <c r="AL56" s="79"/>
      <c r="AN56" s="17"/>
      <c r="AO56" s="17"/>
      <c r="AP56" s="17"/>
    </row>
    <row r="57" spans="1:42" s="16" customFormat="1" ht="15" customHeight="1" x14ac:dyDescent="0.25">
      <c r="A57" s="137" t="s">
        <v>129</v>
      </c>
      <c r="B57" s="138"/>
      <c r="C57" s="17"/>
      <c r="D57" s="82" t="s">
        <v>454</v>
      </c>
      <c r="E57" s="82"/>
      <c r="F57" s="14" t="s">
        <v>29</v>
      </c>
      <c r="H57" s="81"/>
      <c r="I57" s="78"/>
      <c r="J57" s="78"/>
      <c r="L57" s="78"/>
      <c r="M57" s="78"/>
      <c r="N57" s="78"/>
      <c r="P57" s="78"/>
      <c r="Q57" s="78"/>
      <c r="R57" s="78"/>
      <c r="T57" s="78"/>
      <c r="U57" s="78"/>
      <c r="V57" s="78"/>
      <c r="X57" s="78"/>
      <c r="Y57" s="78"/>
      <c r="Z57" s="78"/>
      <c r="AB57" s="78"/>
      <c r="AC57" s="78"/>
      <c r="AD57" s="78"/>
      <c r="AF57" s="78"/>
      <c r="AG57" s="78"/>
      <c r="AH57" s="78"/>
      <c r="AJ57" s="78"/>
      <c r="AK57" s="78"/>
      <c r="AL57" s="79"/>
      <c r="AN57" s="17"/>
      <c r="AO57" s="17"/>
      <c r="AP57" s="17"/>
    </row>
    <row r="58" spans="1:42" s="16" customFormat="1" ht="15" customHeight="1" x14ac:dyDescent="0.25">
      <c r="A58" s="137" t="s">
        <v>443</v>
      </c>
      <c r="B58" s="138"/>
      <c r="C58" s="17"/>
      <c r="D58" s="82" t="s">
        <v>210</v>
      </c>
      <c r="E58" s="82"/>
      <c r="F58" s="14"/>
      <c r="H58" s="81"/>
      <c r="I58" s="78"/>
      <c r="J58" s="78"/>
      <c r="L58" s="78"/>
      <c r="M58" s="78"/>
      <c r="N58" s="78"/>
      <c r="P58" s="78"/>
      <c r="Q58" s="78"/>
      <c r="R58" s="78"/>
      <c r="T58" s="78"/>
      <c r="U58" s="78"/>
      <c r="V58" s="78"/>
      <c r="X58" s="78"/>
      <c r="Y58" s="78"/>
      <c r="Z58" s="78"/>
      <c r="AB58" s="78"/>
      <c r="AC58" s="78"/>
      <c r="AD58" s="78"/>
      <c r="AF58" s="78"/>
      <c r="AG58" s="78"/>
      <c r="AH58" s="78"/>
      <c r="AJ58" s="78"/>
      <c r="AK58" s="78"/>
      <c r="AL58" s="79"/>
      <c r="AN58" s="17"/>
      <c r="AO58" s="17"/>
      <c r="AP58" s="17"/>
    </row>
    <row r="59" spans="1:42" s="16" customFormat="1" ht="15" customHeight="1" x14ac:dyDescent="0.25">
      <c r="A59" s="137" t="s">
        <v>444</v>
      </c>
      <c r="B59" s="138"/>
      <c r="C59" s="17"/>
      <c r="D59" s="82" t="s">
        <v>211</v>
      </c>
      <c r="E59" s="82"/>
      <c r="F59" s="14" t="s">
        <v>29</v>
      </c>
      <c r="H59" s="81"/>
      <c r="I59" s="78"/>
      <c r="J59" s="78"/>
      <c r="L59" s="78"/>
      <c r="M59" s="78"/>
      <c r="N59" s="78"/>
      <c r="P59" s="78"/>
      <c r="Q59" s="78"/>
      <c r="R59" s="78"/>
      <c r="T59" s="78"/>
      <c r="U59" s="78"/>
      <c r="V59" s="78"/>
      <c r="X59" s="78"/>
      <c r="Y59" s="78"/>
      <c r="Z59" s="78"/>
      <c r="AB59" s="78"/>
      <c r="AC59" s="78"/>
      <c r="AD59" s="78"/>
      <c r="AF59" s="78"/>
      <c r="AG59" s="78"/>
      <c r="AH59" s="78"/>
      <c r="AJ59" s="78"/>
      <c r="AK59" s="78"/>
      <c r="AL59" s="79"/>
      <c r="AN59" s="17"/>
      <c r="AO59" s="17"/>
      <c r="AP59" s="17"/>
    </row>
    <row r="60" spans="1:42" s="16" customFormat="1" ht="15" customHeight="1" x14ac:dyDescent="0.25">
      <c r="A60" s="137" t="s">
        <v>130</v>
      </c>
      <c r="B60" s="138"/>
      <c r="C60" s="17"/>
      <c r="D60" s="82" t="s">
        <v>456</v>
      </c>
      <c r="E60" s="82"/>
      <c r="F60" s="14" t="s">
        <v>29</v>
      </c>
      <c r="H60" s="81"/>
      <c r="I60" s="78"/>
      <c r="J60" s="78"/>
      <c r="L60" s="78"/>
      <c r="M60" s="78"/>
      <c r="N60" s="78"/>
      <c r="P60" s="78"/>
      <c r="Q60" s="78"/>
      <c r="R60" s="78"/>
      <c r="T60" s="78"/>
      <c r="U60" s="78"/>
      <c r="V60" s="78"/>
      <c r="X60" s="78"/>
      <c r="Y60" s="78"/>
      <c r="Z60" s="78"/>
      <c r="AB60" s="78"/>
      <c r="AC60" s="78"/>
      <c r="AD60" s="78"/>
      <c r="AF60" s="78"/>
      <c r="AG60" s="78"/>
      <c r="AH60" s="78"/>
      <c r="AJ60" s="78"/>
      <c r="AK60" s="78"/>
      <c r="AL60" s="79"/>
      <c r="AN60" s="17"/>
      <c r="AO60" s="17"/>
      <c r="AP60" s="17"/>
    </row>
    <row r="61" spans="1:42" s="16" customFormat="1" ht="15" customHeight="1" x14ac:dyDescent="0.25">
      <c r="A61" s="137" t="s">
        <v>131</v>
      </c>
      <c r="B61" s="138"/>
      <c r="C61" s="17"/>
      <c r="D61" s="82" t="s">
        <v>457</v>
      </c>
      <c r="E61" s="82"/>
      <c r="F61" s="14" t="s">
        <v>29</v>
      </c>
      <c r="H61" s="81"/>
      <c r="I61" s="78"/>
      <c r="J61" s="78"/>
      <c r="L61" s="78"/>
      <c r="M61" s="78"/>
      <c r="N61" s="78"/>
      <c r="P61" s="78"/>
      <c r="Q61" s="78"/>
      <c r="R61" s="78"/>
      <c r="T61" s="78"/>
      <c r="U61" s="78"/>
      <c r="V61" s="78"/>
      <c r="X61" s="78"/>
      <c r="Y61" s="78"/>
      <c r="Z61" s="78"/>
      <c r="AB61" s="78"/>
      <c r="AC61" s="78"/>
      <c r="AD61" s="78"/>
      <c r="AF61" s="78"/>
      <c r="AG61" s="78"/>
      <c r="AH61" s="78"/>
      <c r="AJ61" s="78"/>
      <c r="AK61" s="78"/>
      <c r="AL61" s="79"/>
      <c r="AN61" s="17"/>
      <c r="AO61" s="17"/>
      <c r="AP61" s="17"/>
    </row>
    <row r="62" spans="1:42" s="16" customFormat="1" ht="15" customHeight="1" x14ac:dyDescent="0.25">
      <c r="A62" s="137" t="s">
        <v>445</v>
      </c>
      <c r="B62" s="138"/>
      <c r="C62" s="17"/>
      <c r="D62" s="82" t="s">
        <v>458</v>
      </c>
      <c r="E62" s="82"/>
      <c r="F62" s="14" t="s">
        <v>29</v>
      </c>
      <c r="H62" s="81"/>
      <c r="I62" s="78"/>
      <c r="J62" s="78"/>
      <c r="L62" s="78"/>
      <c r="M62" s="78"/>
      <c r="N62" s="78"/>
      <c r="P62" s="78"/>
      <c r="Q62" s="78"/>
      <c r="R62" s="78"/>
      <c r="T62" s="78"/>
      <c r="U62" s="78"/>
      <c r="V62" s="78"/>
      <c r="X62" s="78"/>
      <c r="Y62" s="78"/>
      <c r="Z62" s="78"/>
      <c r="AB62" s="78"/>
      <c r="AC62" s="78"/>
      <c r="AD62" s="78"/>
      <c r="AF62" s="78"/>
      <c r="AG62" s="78"/>
      <c r="AH62" s="78"/>
      <c r="AJ62" s="78"/>
      <c r="AK62" s="78"/>
      <c r="AL62" s="79"/>
      <c r="AN62" s="17"/>
      <c r="AO62" s="17"/>
      <c r="AP62" s="17"/>
    </row>
    <row r="63" spans="1:42" s="16" customFormat="1" ht="15" customHeight="1" x14ac:dyDescent="0.25">
      <c r="A63" s="137" t="s">
        <v>132</v>
      </c>
      <c r="B63" s="138"/>
      <c r="C63" s="17"/>
      <c r="D63" s="82" t="s">
        <v>35</v>
      </c>
      <c r="E63" s="82"/>
      <c r="F63" s="14" t="s">
        <v>29</v>
      </c>
      <c r="H63" s="81"/>
      <c r="I63" s="78"/>
      <c r="J63" s="78"/>
      <c r="L63" s="78"/>
      <c r="M63" s="78"/>
      <c r="N63" s="78"/>
      <c r="P63" s="78"/>
      <c r="Q63" s="78"/>
      <c r="R63" s="78"/>
      <c r="T63" s="78"/>
      <c r="U63" s="78"/>
      <c r="V63" s="78"/>
      <c r="X63" s="78"/>
      <c r="Y63" s="78"/>
      <c r="Z63" s="78"/>
      <c r="AB63" s="78"/>
      <c r="AC63" s="78"/>
      <c r="AD63" s="78"/>
      <c r="AF63" s="78"/>
      <c r="AG63" s="78"/>
      <c r="AH63" s="78"/>
      <c r="AJ63" s="78"/>
      <c r="AK63" s="78"/>
      <c r="AL63" s="79"/>
      <c r="AN63" s="17"/>
      <c r="AO63" s="17"/>
      <c r="AP63" s="17"/>
    </row>
    <row r="64" spans="1:42" s="16" customFormat="1" ht="15" customHeight="1" x14ac:dyDescent="0.25">
      <c r="A64" s="137" t="s">
        <v>446</v>
      </c>
      <c r="B64" s="138"/>
      <c r="C64" s="17"/>
      <c r="D64" s="82" t="s">
        <v>459</v>
      </c>
      <c r="E64" s="82"/>
      <c r="F64" s="14" t="s">
        <v>29</v>
      </c>
      <c r="H64" s="81"/>
      <c r="I64" s="78"/>
      <c r="J64" s="78"/>
      <c r="L64" s="78"/>
      <c r="M64" s="78"/>
      <c r="N64" s="78"/>
      <c r="P64" s="78"/>
      <c r="Q64" s="78"/>
      <c r="R64" s="78"/>
      <c r="T64" s="78"/>
      <c r="U64" s="78"/>
      <c r="V64" s="78"/>
      <c r="X64" s="78"/>
      <c r="Y64" s="78"/>
      <c r="Z64" s="78"/>
      <c r="AB64" s="78"/>
      <c r="AC64" s="78"/>
      <c r="AD64" s="78"/>
      <c r="AF64" s="78"/>
      <c r="AG64" s="78"/>
      <c r="AH64" s="78"/>
      <c r="AJ64" s="78"/>
      <c r="AK64" s="78"/>
      <c r="AL64" s="79"/>
      <c r="AN64" s="17"/>
      <c r="AO64" s="17"/>
      <c r="AP64" s="17"/>
    </row>
    <row r="65" spans="1:42" s="16" customFormat="1" ht="15" customHeight="1" x14ac:dyDescent="0.25">
      <c r="A65" s="137" t="s">
        <v>133</v>
      </c>
      <c r="B65" s="138"/>
      <c r="C65" s="17"/>
      <c r="D65" s="82" t="s">
        <v>36</v>
      </c>
      <c r="E65" s="82"/>
      <c r="F65" s="14" t="s">
        <v>29</v>
      </c>
      <c r="H65" s="81"/>
      <c r="I65" s="78"/>
      <c r="J65" s="78"/>
      <c r="L65" s="78"/>
      <c r="M65" s="78"/>
      <c r="N65" s="78"/>
      <c r="P65" s="78"/>
      <c r="Q65" s="78"/>
      <c r="R65" s="78"/>
      <c r="T65" s="78"/>
      <c r="U65" s="78"/>
      <c r="V65" s="78"/>
      <c r="X65" s="78"/>
      <c r="Y65" s="78"/>
      <c r="Z65" s="78"/>
      <c r="AB65" s="78"/>
      <c r="AC65" s="78"/>
      <c r="AD65" s="78"/>
      <c r="AF65" s="78"/>
      <c r="AG65" s="78"/>
      <c r="AH65" s="78"/>
      <c r="AJ65" s="78"/>
      <c r="AK65" s="78"/>
      <c r="AL65" s="79"/>
      <c r="AN65" s="17"/>
      <c r="AO65" s="17"/>
      <c r="AP65" s="17"/>
    </row>
    <row r="66" spans="1:42" s="16" customFormat="1" ht="15" customHeight="1" x14ac:dyDescent="0.25">
      <c r="A66" s="137" t="s">
        <v>447</v>
      </c>
      <c r="B66" s="138"/>
      <c r="C66" s="17"/>
      <c r="D66" s="82" t="s">
        <v>460</v>
      </c>
      <c r="E66" s="82"/>
      <c r="F66" s="14" t="s">
        <v>29</v>
      </c>
      <c r="H66" s="81"/>
      <c r="I66" s="78"/>
      <c r="J66" s="78"/>
      <c r="L66" s="78"/>
      <c r="M66" s="78"/>
      <c r="N66" s="78"/>
      <c r="P66" s="78"/>
      <c r="Q66" s="78"/>
      <c r="R66" s="78"/>
      <c r="T66" s="78"/>
      <c r="U66" s="78"/>
      <c r="V66" s="78"/>
      <c r="X66" s="78"/>
      <c r="Y66" s="78"/>
      <c r="Z66" s="78"/>
      <c r="AB66" s="78"/>
      <c r="AC66" s="78"/>
      <c r="AD66" s="78"/>
      <c r="AF66" s="78"/>
      <c r="AG66" s="78"/>
      <c r="AH66" s="78"/>
      <c r="AJ66" s="78"/>
      <c r="AK66" s="78"/>
      <c r="AL66" s="79"/>
      <c r="AN66" s="17"/>
      <c r="AO66" s="17"/>
      <c r="AP66" s="17"/>
    </row>
    <row r="67" spans="1:42" s="16" customFormat="1" ht="15" customHeight="1" x14ac:dyDescent="0.25">
      <c r="A67" s="137" t="s">
        <v>134</v>
      </c>
      <c r="B67" s="138"/>
      <c r="C67" s="17"/>
      <c r="D67" s="82" t="s">
        <v>37</v>
      </c>
      <c r="E67" s="82"/>
      <c r="F67" s="14" t="s">
        <v>29</v>
      </c>
      <c r="H67" s="81"/>
      <c r="I67" s="78"/>
      <c r="J67" s="78"/>
      <c r="L67" s="78"/>
      <c r="M67" s="78"/>
      <c r="N67" s="78"/>
      <c r="P67" s="78"/>
      <c r="Q67" s="78"/>
      <c r="R67" s="78"/>
      <c r="T67" s="78"/>
      <c r="U67" s="78"/>
      <c r="V67" s="78"/>
      <c r="X67" s="78"/>
      <c r="Y67" s="78"/>
      <c r="Z67" s="78"/>
      <c r="AB67" s="78"/>
      <c r="AC67" s="78"/>
      <c r="AD67" s="78"/>
      <c r="AF67" s="78"/>
      <c r="AG67" s="78"/>
      <c r="AH67" s="78"/>
      <c r="AJ67" s="78"/>
      <c r="AK67" s="78"/>
      <c r="AL67" s="79"/>
      <c r="AN67" s="17"/>
      <c r="AO67" s="17"/>
      <c r="AP67" s="17"/>
    </row>
    <row r="68" spans="1:42" s="16" customFormat="1" ht="15" customHeight="1" x14ac:dyDescent="0.25">
      <c r="A68" s="137" t="s">
        <v>461</v>
      </c>
      <c r="B68" s="138"/>
      <c r="C68" s="17"/>
      <c r="D68" s="82" t="s">
        <v>464</v>
      </c>
      <c r="E68" s="82"/>
      <c r="F68" s="14" t="s">
        <v>29</v>
      </c>
      <c r="H68" s="81"/>
      <c r="I68" s="78"/>
      <c r="J68" s="78"/>
      <c r="L68" s="78"/>
      <c r="M68" s="78"/>
      <c r="N68" s="78"/>
      <c r="P68" s="78"/>
      <c r="Q68" s="78"/>
      <c r="R68" s="78"/>
      <c r="T68" s="78"/>
      <c r="U68" s="78"/>
      <c r="V68" s="78"/>
      <c r="X68" s="78"/>
      <c r="Y68" s="78"/>
      <c r="Z68" s="78"/>
      <c r="AB68" s="78"/>
      <c r="AC68" s="78"/>
      <c r="AD68" s="78"/>
      <c r="AF68" s="78"/>
      <c r="AG68" s="78"/>
      <c r="AH68" s="78"/>
      <c r="AJ68" s="78"/>
      <c r="AK68" s="78"/>
      <c r="AL68" s="79"/>
      <c r="AN68" s="17"/>
      <c r="AO68" s="17"/>
      <c r="AP68" s="17"/>
    </row>
    <row r="69" spans="1:42" s="16" customFormat="1" ht="15" customHeight="1" x14ac:dyDescent="0.25">
      <c r="A69" s="137" t="s">
        <v>134</v>
      </c>
      <c r="B69" s="138"/>
      <c r="C69" s="17"/>
      <c r="D69" s="82" t="s">
        <v>37</v>
      </c>
      <c r="E69" s="82"/>
      <c r="F69" s="14" t="s">
        <v>29</v>
      </c>
      <c r="H69" s="81"/>
      <c r="I69" s="78"/>
      <c r="J69" s="78"/>
      <c r="L69" s="78"/>
      <c r="M69" s="78"/>
      <c r="N69" s="78"/>
      <c r="P69" s="78"/>
      <c r="Q69" s="78"/>
      <c r="R69" s="78"/>
      <c r="T69" s="78"/>
      <c r="U69" s="78"/>
      <c r="V69" s="78"/>
      <c r="X69" s="78"/>
      <c r="Y69" s="78"/>
      <c r="Z69" s="78"/>
      <c r="AB69" s="78"/>
      <c r="AC69" s="78"/>
      <c r="AD69" s="78"/>
      <c r="AF69" s="78"/>
      <c r="AG69" s="78"/>
      <c r="AH69" s="78"/>
      <c r="AJ69" s="78"/>
      <c r="AK69" s="78"/>
      <c r="AL69" s="79"/>
      <c r="AN69" s="17"/>
      <c r="AO69" s="17"/>
      <c r="AP69" s="17"/>
    </row>
    <row r="70" spans="1:42" s="16" customFormat="1" ht="15" customHeight="1" x14ac:dyDescent="0.25">
      <c r="A70" s="137" t="s">
        <v>448</v>
      </c>
      <c r="B70" s="138"/>
      <c r="C70" s="17"/>
      <c r="D70" s="82" t="s">
        <v>462</v>
      </c>
      <c r="E70" s="82"/>
      <c r="F70" s="14" t="s">
        <v>29</v>
      </c>
      <c r="H70" s="81"/>
      <c r="I70" s="78"/>
      <c r="J70" s="78"/>
      <c r="L70" s="78"/>
      <c r="M70" s="78"/>
      <c r="N70" s="78"/>
      <c r="P70" s="78"/>
      <c r="Q70" s="78"/>
      <c r="R70" s="78"/>
      <c r="T70" s="78"/>
      <c r="U70" s="78"/>
      <c r="V70" s="78"/>
      <c r="X70" s="78"/>
      <c r="Y70" s="78"/>
      <c r="Z70" s="78"/>
      <c r="AB70" s="78"/>
      <c r="AC70" s="78"/>
      <c r="AD70" s="78"/>
      <c r="AF70" s="78"/>
      <c r="AG70" s="78"/>
      <c r="AH70" s="78"/>
      <c r="AJ70" s="78"/>
      <c r="AK70" s="78"/>
      <c r="AL70" s="79"/>
      <c r="AN70" s="17"/>
      <c r="AO70" s="17"/>
      <c r="AP70" s="17"/>
    </row>
    <row r="71" spans="1:42" s="16" customFormat="1" ht="15" customHeight="1" x14ac:dyDescent="0.25">
      <c r="A71" s="137" t="s">
        <v>135</v>
      </c>
      <c r="B71" s="138"/>
      <c r="C71" s="17"/>
      <c r="D71" s="82" t="s">
        <v>212</v>
      </c>
      <c r="E71" s="82"/>
      <c r="F71" s="14" t="s">
        <v>29</v>
      </c>
      <c r="H71" s="81"/>
      <c r="I71" s="78"/>
      <c r="J71" s="78"/>
      <c r="L71" s="78"/>
      <c r="M71" s="78"/>
      <c r="N71" s="78"/>
      <c r="P71" s="78"/>
      <c r="Q71" s="78"/>
      <c r="R71" s="78"/>
      <c r="T71" s="78"/>
      <c r="U71" s="78"/>
      <c r="V71" s="78"/>
      <c r="X71" s="78"/>
      <c r="Y71" s="78"/>
      <c r="Z71" s="78"/>
      <c r="AB71" s="78"/>
      <c r="AC71" s="78"/>
      <c r="AD71" s="78"/>
      <c r="AF71" s="78"/>
      <c r="AG71" s="78"/>
      <c r="AH71" s="78"/>
      <c r="AJ71" s="78"/>
      <c r="AK71" s="78"/>
      <c r="AL71" s="79"/>
      <c r="AN71" s="17"/>
      <c r="AO71" s="17"/>
      <c r="AP71" s="17"/>
    </row>
    <row r="72" spans="1:42" s="16" customFormat="1" ht="15" customHeight="1" x14ac:dyDescent="0.25">
      <c r="A72" s="137" t="s">
        <v>136</v>
      </c>
      <c r="B72" s="138"/>
      <c r="C72" s="17"/>
      <c r="D72" s="82" t="s">
        <v>214</v>
      </c>
      <c r="E72" s="82"/>
      <c r="F72" s="14" t="s">
        <v>29</v>
      </c>
      <c r="H72" s="81"/>
      <c r="I72" s="78"/>
      <c r="J72" s="78"/>
      <c r="L72" s="78"/>
      <c r="M72" s="78"/>
      <c r="N72" s="78"/>
      <c r="P72" s="78"/>
      <c r="Q72" s="78"/>
      <c r="R72" s="78"/>
      <c r="T72" s="78"/>
      <c r="U72" s="78"/>
      <c r="V72" s="78"/>
      <c r="X72" s="78"/>
      <c r="Y72" s="78"/>
      <c r="Z72" s="78"/>
      <c r="AB72" s="78"/>
      <c r="AC72" s="78"/>
      <c r="AD72" s="78"/>
      <c r="AF72" s="78"/>
      <c r="AG72" s="78"/>
      <c r="AH72" s="78"/>
      <c r="AJ72" s="78"/>
      <c r="AK72" s="78"/>
      <c r="AL72" s="79"/>
      <c r="AN72" s="17"/>
      <c r="AO72" s="17"/>
      <c r="AP72" s="17"/>
    </row>
    <row r="73" spans="1:42" s="16" customFormat="1" ht="15" customHeight="1" x14ac:dyDescent="0.25">
      <c r="A73" s="137" t="s">
        <v>137</v>
      </c>
      <c r="B73" s="138"/>
      <c r="C73" s="17"/>
      <c r="D73" s="82" t="s">
        <v>213</v>
      </c>
      <c r="E73" s="82"/>
      <c r="F73" s="14" t="s">
        <v>29</v>
      </c>
      <c r="H73" s="81"/>
      <c r="I73" s="78"/>
      <c r="J73" s="78"/>
      <c r="L73" s="78"/>
      <c r="M73" s="78"/>
      <c r="N73" s="78"/>
      <c r="P73" s="78"/>
      <c r="Q73" s="78"/>
      <c r="R73" s="78"/>
      <c r="T73" s="78"/>
      <c r="U73" s="78"/>
      <c r="V73" s="78"/>
      <c r="X73" s="78"/>
      <c r="Y73" s="78"/>
      <c r="Z73" s="78"/>
      <c r="AB73" s="78"/>
      <c r="AC73" s="78"/>
      <c r="AD73" s="78"/>
      <c r="AF73" s="78"/>
      <c r="AG73" s="78"/>
      <c r="AH73" s="78"/>
      <c r="AJ73" s="78"/>
      <c r="AK73" s="78"/>
      <c r="AL73" s="79"/>
      <c r="AN73" s="17"/>
      <c r="AO73" s="17"/>
      <c r="AP73" s="17"/>
    </row>
    <row r="74" spans="1:42" s="16" customFormat="1" ht="15" customHeight="1" x14ac:dyDescent="0.25">
      <c r="A74" s="142"/>
      <c r="B74" s="143"/>
      <c r="C74" s="17"/>
      <c r="D74" s="87"/>
      <c r="E74" s="87"/>
      <c r="F74" s="19"/>
      <c r="H74" s="18"/>
      <c r="I74" s="17"/>
      <c r="J74" s="17"/>
      <c r="L74" s="17"/>
      <c r="M74" s="17"/>
      <c r="N74" s="17"/>
      <c r="P74" s="17"/>
      <c r="Q74" s="17"/>
      <c r="R74" s="17"/>
      <c r="T74" s="17"/>
      <c r="U74" s="17"/>
      <c r="V74" s="17"/>
      <c r="X74" s="17"/>
      <c r="Y74" s="17"/>
      <c r="Z74" s="17"/>
      <c r="AB74" s="17"/>
      <c r="AC74" s="17"/>
      <c r="AD74" s="17"/>
      <c r="AF74" s="17"/>
      <c r="AG74" s="17"/>
      <c r="AH74" s="17"/>
      <c r="AJ74" s="17"/>
      <c r="AK74" s="17"/>
      <c r="AL74" s="19"/>
      <c r="AN74" s="17"/>
      <c r="AO74" s="17"/>
      <c r="AP74" s="17"/>
    </row>
    <row r="75" spans="1:42" s="16" customFormat="1" ht="15" customHeight="1" x14ac:dyDescent="0.25">
      <c r="A75" s="139" t="s">
        <v>432</v>
      </c>
      <c r="B75" s="140"/>
      <c r="C75" s="17"/>
      <c r="D75" s="140" t="s">
        <v>215</v>
      </c>
      <c r="E75" s="140"/>
      <c r="F75" s="19"/>
      <c r="H75" s="18"/>
      <c r="J75" s="17"/>
      <c r="L75" s="17"/>
      <c r="N75" s="17"/>
      <c r="P75" s="17"/>
      <c r="R75" s="17"/>
      <c r="T75" s="17"/>
      <c r="V75" s="17"/>
      <c r="X75" s="17"/>
      <c r="Z75" s="17"/>
      <c r="AB75" s="17"/>
      <c r="AD75" s="17"/>
      <c r="AF75" s="17"/>
      <c r="AH75" s="17"/>
      <c r="AJ75" s="17"/>
      <c r="AL75" s="19"/>
      <c r="AN75" s="17"/>
      <c r="AO75" s="17"/>
      <c r="AP75" s="17"/>
    </row>
    <row r="76" spans="1:42" s="16" customFormat="1" x14ac:dyDescent="0.25">
      <c r="A76" s="137" t="s">
        <v>138</v>
      </c>
      <c r="B76" s="138"/>
      <c r="C76" s="17"/>
      <c r="D76" s="175" t="s">
        <v>38</v>
      </c>
      <c r="E76" s="176"/>
      <c r="F76" s="14" t="s">
        <v>247</v>
      </c>
      <c r="H76" s="125"/>
      <c r="I76" s="126"/>
      <c r="J76" s="127"/>
      <c r="L76" s="78"/>
      <c r="M76" s="78"/>
      <c r="N76" s="78"/>
      <c r="P76" s="78"/>
      <c r="Q76" s="78"/>
      <c r="R76" s="78"/>
      <c r="T76" s="78"/>
      <c r="U76" s="78"/>
      <c r="V76" s="78"/>
      <c r="X76" s="78"/>
      <c r="Y76" s="78"/>
      <c r="Z76" s="78"/>
      <c r="AB76" s="78"/>
      <c r="AC76" s="78"/>
      <c r="AD76" s="78"/>
      <c r="AF76" s="78"/>
      <c r="AG76" s="78"/>
      <c r="AH76" s="78"/>
      <c r="AJ76" s="78"/>
      <c r="AK76" s="78"/>
      <c r="AL76" s="79"/>
      <c r="AN76" s="17"/>
      <c r="AO76" s="17"/>
      <c r="AP76" s="17"/>
    </row>
    <row r="77" spans="1:42" s="16" customFormat="1" x14ac:dyDescent="0.25">
      <c r="A77" s="135" t="s">
        <v>139</v>
      </c>
      <c r="B77" s="136"/>
      <c r="C77" s="17"/>
      <c r="D77" s="114" t="s">
        <v>39</v>
      </c>
      <c r="E77" s="115"/>
      <c r="F77" s="14" t="s">
        <v>247</v>
      </c>
      <c r="H77" s="125"/>
      <c r="I77" s="126"/>
      <c r="J77" s="127"/>
      <c r="L77" s="78"/>
      <c r="M77" s="78"/>
      <c r="N77" s="78"/>
      <c r="P77" s="78"/>
      <c r="Q77" s="78"/>
      <c r="R77" s="78"/>
      <c r="T77" s="78"/>
      <c r="U77" s="78"/>
      <c r="V77" s="78"/>
      <c r="X77" s="78"/>
      <c r="Y77" s="78"/>
      <c r="Z77" s="78"/>
      <c r="AB77" s="78"/>
      <c r="AC77" s="78"/>
      <c r="AD77" s="78"/>
      <c r="AF77" s="78"/>
      <c r="AG77" s="78"/>
      <c r="AH77" s="78"/>
      <c r="AJ77" s="78"/>
      <c r="AK77" s="78"/>
      <c r="AL77" s="79"/>
      <c r="AN77" s="17"/>
      <c r="AO77" s="17"/>
      <c r="AP77" s="17"/>
    </row>
    <row r="78" spans="1:42" s="16" customFormat="1" x14ac:dyDescent="0.25">
      <c r="A78" s="137" t="s">
        <v>430</v>
      </c>
      <c r="B78" s="138"/>
      <c r="C78" s="17"/>
      <c r="D78" s="175" t="s">
        <v>431</v>
      </c>
      <c r="E78" s="176"/>
      <c r="F78" s="14" t="s">
        <v>40</v>
      </c>
      <c r="H78" s="160"/>
      <c r="I78" s="161"/>
      <c r="J78" s="162"/>
      <c r="L78" s="163"/>
      <c r="M78" s="163"/>
      <c r="N78" s="163"/>
      <c r="P78" s="163"/>
      <c r="Q78" s="163"/>
      <c r="R78" s="163"/>
      <c r="T78" s="163"/>
      <c r="U78" s="163"/>
      <c r="V78" s="163"/>
      <c r="X78" s="163"/>
      <c r="Y78" s="163"/>
      <c r="Z78" s="163"/>
      <c r="AB78" s="163"/>
      <c r="AC78" s="163"/>
      <c r="AD78" s="163"/>
      <c r="AF78" s="163"/>
      <c r="AG78" s="163"/>
      <c r="AH78" s="163"/>
      <c r="AJ78" s="163"/>
      <c r="AK78" s="163"/>
      <c r="AL78" s="194"/>
      <c r="AN78" s="17"/>
      <c r="AO78" s="17"/>
      <c r="AP78" s="17"/>
    </row>
    <row r="79" spans="1:42" s="16" customFormat="1" x14ac:dyDescent="0.25">
      <c r="A79" s="137" t="s">
        <v>140</v>
      </c>
      <c r="B79" s="138"/>
      <c r="C79" s="17"/>
      <c r="D79" s="175" t="s">
        <v>41</v>
      </c>
      <c r="E79" s="176"/>
      <c r="F79" s="14" t="s">
        <v>247</v>
      </c>
      <c r="H79" s="160"/>
      <c r="I79" s="161"/>
      <c r="J79" s="162"/>
      <c r="L79" s="163"/>
      <c r="M79" s="163"/>
      <c r="N79" s="163"/>
      <c r="P79" s="163"/>
      <c r="Q79" s="163"/>
      <c r="R79" s="163"/>
      <c r="T79" s="163"/>
      <c r="U79" s="163"/>
      <c r="V79" s="163"/>
      <c r="X79" s="163"/>
      <c r="Y79" s="163"/>
      <c r="Z79" s="163"/>
      <c r="AB79" s="163"/>
      <c r="AC79" s="163"/>
      <c r="AD79" s="163"/>
      <c r="AF79" s="163"/>
      <c r="AG79" s="163"/>
      <c r="AH79" s="163"/>
      <c r="AJ79" s="163"/>
      <c r="AK79" s="163"/>
      <c r="AL79" s="194"/>
      <c r="AN79" s="17"/>
      <c r="AO79" s="17"/>
      <c r="AP79" s="17"/>
    </row>
    <row r="80" spans="1:42" s="16" customFormat="1" x14ac:dyDescent="0.25">
      <c r="A80" s="137" t="s">
        <v>400</v>
      </c>
      <c r="B80" s="138"/>
      <c r="C80" s="17"/>
      <c r="D80" s="82" t="s">
        <v>401</v>
      </c>
      <c r="E80" s="82"/>
      <c r="F80" s="14" t="s">
        <v>402</v>
      </c>
      <c r="H80" s="160"/>
      <c r="I80" s="161"/>
      <c r="J80" s="162"/>
      <c r="L80" s="163"/>
      <c r="M80" s="163"/>
      <c r="N80" s="163"/>
      <c r="P80" s="163"/>
      <c r="Q80" s="163"/>
      <c r="R80" s="163"/>
      <c r="T80" s="163"/>
      <c r="U80" s="163"/>
      <c r="V80" s="163"/>
      <c r="X80" s="163"/>
      <c r="Y80" s="163"/>
      <c r="Z80" s="163"/>
      <c r="AB80" s="163"/>
      <c r="AC80" s="163"/>
      <c r="AD80" s="163"/>
      <c r="AF80" s="163"/>
      <c r="AG80" s="163"/>
      <c r="AH80" s="163"/>
      <c r="AJ80" s="163"/>
      <c r="AK80" s="163"/>
      <c r="AL80" s="194"/>
      <c r="AN80" s="17"/>
      <c r="AO80" s="17"/>
      <c r="AP80" s="17"/>
    </row>
    <row r="81" spans="1:42" s="16" customFormat="1" x14ac:dyDescent="0.25">
      <c r="A81" s="137" t="s">
        <v>141</v>
      </c>
      <c r="B81" s="138"/>
      <c r="C81" s="17"/>
      <c r="D81" s="82" t="s">
        <v>277</v>
      </c>
      <c r="E81" s="82"/>
      <c r="F81" s="14" t="s">
        <v>42</v>
      </c>
      <c r="H81" s="160"/>
      <c r="I81" s="161"/>
      <c r="J81" s="162"/>
      <c r="L81" s="163"/>
      <c r="M81" s="163"/>
      <c r="N81" s="163"/>
      <c r="P81" s="163"/>
      <c r="Q81" s="163"/>
      <c r="R81" s="163"/>
      <c r="T81" s="163"/>
      <c r="U81" s="163"/>
      <c r="V81" s="163"/>
      <c r="X81" s="163"/>
      <c r="Y81" s="163"/>
      <c r="Z81" s="163"/>
      <c r="AB81" s="163"/>
      <c r="AC81" s="163"/>
      <c r="AD81" s="163"/>
      <c r="AF81" s="163"/>
      <c r="AG81" s="163"/>
      <c r="AH81" s="163"/>
      <c r="AJ81" s="163"/>
      <c r="AK81" s="163"/>
      <c r="AL81" s="194"/>
      <c r="AN81" s="17"/>
      <c r="AO81" s="17"/>
      <c r="AP81" s="17"/>
    </row>
    <row r="82" spans="1:42" x14ac:dyDescent="0.25">
      <c r="A82" s="137" t="s">
        <v>142</v>
      </c>
      <c r="B82" s="138"/>
      <c r="D82" s="82" t="s">
        <v>43</v>
      </c>
      <c r="E82" s="82"/>
      <c r="F82" s="14" t="s">
        <v>44</v>
      </c>
      <c r="H82" s="167">
        <f>1.5*H26</f>
        <v>0</v>
      </c>
      <c r="I82" s="168"/>
      <c r="J82" s="169"/>
      <c r="L82" s="170">
        <f>1.5*L26</f>
        <v>0</v>
      </c>
      <c r="M82" s="170"/>
      <c r="N82" s="170"/>
      <c r="P82" s="170">
        <f>1.5*P26</f>
        <v>0</v>
      </c>
      <c r="Q82" s="170"/>
      <c r="R82" s="170"/>
      <c r="T82" s="170">
        <f>1.5*T26</f>
        <v>0</v>
      </c>
      <c r="U82" s="170"/>
      <c r="V82" s="170"/>
      <c r="X82" s="170">
        <f>1.5*X26</f>
        <v>0</v>
      </c>
      <c r="Y82" s="170"/>
      <c r="Z82" s="170"/>
      <c r="AB82" s="170">
        <f>1.5*AB26</f>
        <v>0</v>
      </c>
      <c r="AC82" s="170"/>
      <c r="AD82" s="170"/>
      <c r="AF82" s="170">
        <f>1.5*AF26</f>
        <v>0</v>
      </c>
      <c r="AG82" s="170"/>
      <c r="AH82" s="170"/>
      <c r="AJ82" s="170">
        <f>1.5*AJ26</f>
        <v>0</v>
      </c>
      <c r="AK82" s="170"/>
      <c r="AL82" s="195"/>
    </row>
    <row r="83" spans="1:42" x14ac:dyDescent="0.25">
      <c r="A83" s="135" t="s">
        <v>143</v>
      </c>
      <c r="B83" s="136"/>
      <c r="D83" s="80" t="s">
        <v>45</v>
      </c>
      <c r="E83" s="80"/>
      <c r="F83" s="14" t="s">
        <v>46</v>
      </c>
      <c r="H83" s="167">
        <f>H82+1.5</f>
        <v>1.5</v>
      </c>
      <c r="I83" s="168"/>
      <c r="J83" s="169"/>
      <c r="L83" s="170">
        <f>L82+1.5</f>
        <v>1.5</v>
      </c>
      <c r="M83" s="170"/>
      <c r="N83" s="170"/>
      <c r="P83" s="170">
        <f>P82+1.5</f>
        <v>1.5</v>
      </c>
      <c r="Q83" s="170"/>
      <c r="R83" s="170"/>
      <c r="T83" s="170">
        <f>T82+1.5</f>
        <v>1.5</v>
      </c>
      <c r="U83" s="170"/>
      <c r="V83" s="170"/>
      <c r="X83" s="170">
        <f>X82+1.5</f>
        <v>1.5</v>
      </c>
      <c r="Y83" s="170"/>
      <c r="Z83" s="170"/>
      <c r="AB83" s="170">
        <f>AB82+1.5</f>
        <v>1.5</v>
      </c>
      <c r="AC83" s="170"/>
      <c r="AD83" s="170"/>
      <c r="AF83" s="170">
        <f>AF82+1.5</f>
        <v>1.5</v>
      </c>
      <c r="AG83" s="170"/>
      <c r="AH83" s="170"/>
      <c r="AJ83" s="170">
        <f>AJ82+1.5</f>
        <v>1.5</v>
      </c>
      <c r="AK83" s="170"/>
      <c r="AL83" s="195"/>
    </row>
    <row r="84" spans="1:42" x14ac:dyDescent="0.25">
      <c r="A84" s="137" t="s">
        <v>144</v>
      </c>
      <c r="B84" s="138"/>
      <c r="D84" s="82" t="s">
        <v>47</v>
      </c>
      <c r="E84" s="82"/>
      <c r="F84" s="14" t="s">
        <v>48</v>
      </c>
      <c r="H84" s="160">
        <f>H82*1000/(400*1.732*0.85)</f>
        <v>0</v>
      </c>
      <c r="I84" s="161"/>
      <c r="J84" s="162"/>
      <c r="L84" s="163">
        <f>L82*1000/(400*1.732*0.85)</f>
        <v>0</v>
      </c>
      <c r="M84" s="163"/>
      <c r="N84" s="163"/>
      <c r="P84" s="163">
        <f>P82*1000/(400*1.732*0.85)</f>
        <v>0</v>
      </c>
      <c r="Q84" s="163"/>
      <c r="R84" s="163"/>
      <c r="T84" s="163">
        <f>T82*1000/(400*1.732*0.85)</f>
        <v>0</v>
      </c>
      <c r="U84" s="163"/>
      <c r="V84" s="163"/>
      <c r="X84" s="163">
        <f>X82*1000/(400*1.732*0.85)</f>
        <v>0</v>
      </c>
      <c r="Y84" s="163"/>
      <c r="Z84" s="163"/>
      <c r="AB84" s="163">
        <f>AB82*1000/(400*1.732*0.85)</f>
        <v>0</v>
      </c>
      <c r="AC84" s="163"/>
      <c r="AD84" s="163"/>
      <c r="AF84" s="163">
        <f>AF82*1000/(400*1.732*0.85)</f>
        <v>0</v>
      </c>
      <c r="AG84" s="163"/>
      <c r="AH84" s="163"/>
      <c r="AJ84" s="163">
        <f>AJ82*1000/(400*1.732*0.85)</f>
        <v>0</v>
      </c>
      <c r="AK84" s="163"/>
      <c r="AL84" s="194"/>
    </row>
    <row r="85" spans="1:42" x14ac:dyDescent="0.25">
      <c r="A85" s="137" t="s">
        <v>145</v>
      </c>
      <c r="B85" s="138"/>
      <c r="D85" s="82" t="s">
        <v>270</v>
      </c>
      <c r="E85" s="82"/>
      <c r="F85" s="14" t="s">
        <v>48</v>
      </c>
      <c r="H85" s="160">
        <f>H84*2</f>
        <v>0</v>
      </c>
      <c r="I85" s="161"/>
      <c r="J85" s="162"/>
      <c r="L85" s="163">
        <f>L84*2</f>
        <v>0</v>
      </c>
      <c r="M85" s="163"/>
      <c r="N85" s="163"/>
      <c r="P85" s="163">
        <f>P84*2</f>
        <v>0</v>
      </c>
      <c r="Q85" s="163"/>
      <c r="R85" s="163"/>
      <c r="T85" s="163">
        <f>T84*2</f>
        <v>0</v>
      </c>
      <c r="U85" s="163"/>
      <c r="V85" s="163"/>
      <c r="X85" s="163">
        <f>X84*2</f>
        <v>0</v>
      </c>
      <c r="Y85" s="163"/>
      <c r="Z85" s="163"/>
      <c r="AB85" s="163">
        <f>AB84*2</f>
        <v>0</v>
      </c>
      <c r="AC85" s="163"/>
      <c r="AD85" s="163"/>
      <c r="AF85" s="163">
        <f>AF84*2</f>
        <v>0</v>
      </c>
      <c r="AG85" s="163"/>
      <c r="AH85" s="163"/>
      <c r="AJ85" s="163">
        <f>AJ84*2</f>
        <v>0</v>
      </c>
      <c r="AK85" s="163"/>
      <c r="AL85" s="194"/>
    </row>
    <row r="86" spans="1:42" x14ac:dyDescent="0.25">
      <c r="A86" s="137" t="s">
        <v>398</v>
      </c>
      <c r="B86" s="138"/>
      <c r="D86" s="82" t="s">
        <v>399</v>
      </c>
      <c r="E86" s="82"/>
      <c r="F86" s="14" t="s">
        <v>26</v>
      </c>
      <c r="H86" s="160"/>
      <c r="I86" s="161"/>
      <c r="J86" s="162"/>
      <c r="L86" s="163"/>
      <c r="M86" s="163"/>
      <c r="N86" s="163"/>
      <c r="P86" s="163"/>
      <c r="Q86" s="163"/>
      <c r="R86" s="163"/>
      <c r="T86" s="163"/>
      <c r="U86" s="163"/>
      <c r="V86" s="163"/>
      <c r="X86" s="163"/>
      <c r="Y86" s="163"/>
      <c r="Z86" s="163"/>
      <c r="AB86" s="163"/>
      <c r="AC86" s="163"/>
      <c r="AD86" s="163"/>
      <c r="AF86" s="163"/>
      <c r="AG86" s="163"/>
      <c r="AH86" s="163"/>
      <c r="AJ86" s="163"/>
      <c r="AK86" s="163"/>
      <c r="AL86" s="194"/>
    </row>
    <row r="87" spans="1:42" x14ac:dyDescent="0.25">
      <c r="A87" s="137" t="s">
        <v>146</v>
      </c>
      <c r="B87" s="138"/>
      <c r="D87" s="82" t="s">
        <v>274</v>
      </c>
      <c r="E87" s="82"/>
      <c r="F87" s="14" t="s">
        <v>49</v>
      </c>
      <c r="H87" s="171">
        <v>0.7</v>
      </c>
      <c r="I87" s="172"/>
      <c r="J87" s="173"/>
      <c r="K87" s="59"/>
      <c r="L87" s="174">
        <v>0.7</v>
      </c>
      <c r="M87" s="174"/>
      <c r="N87" s="174"/>
      <c r="O87" s="59"/>
      <c r="P87" s="174">
        <v>0.7</v>
      </c>
      <c r="Q87" s="174"/>
      <c r="R87" s="174"/>
      <c r="S87" s="59"/>
      <c r="T87" s="174">
        <v>0.7</v>
      </c>
      <c r="U87" s="174"/>
      <c r="V87" s="174"/>
      <c r="W87" s="59"/>
      <c r="X87" s="174">
        <v>0.7</v>
      </c>
      <c r="Y87" s="174"/>
      <c r="Z87" s="174"/>
      <c r="AA87" s="59"/>
      <c r="AB87" s="174">
        <v>0.7</v>
      </c>
      <c r="AC87" s="174"/>
      <c r="AD87" s="174"/>
      <c r="AE87" s="59"/>
      <c r="AF87" s="174">
        <v>0.7</v>
      </c>
      <c r="AG87" s="174"/>
      <c r="AH87" s="174"/>
      <c r="AI87" s="59"/>
      <c r="AJ87" s="174">
        <v>0.7</v>
      </c>
      <c r="AK87" s="174"/>
      <c r="AL87" s="196"/>
    </row>
    <row r="88" spans="1:42" x14ac:dyDescent="0.25">
      <c r="A88" s="135" t="s">
        <v>147</v>
      </c>
      <c r="B88" s="136"/>
      <c r="D88" s="80" t="s">
        <v>50</v>
      </c>
      <c r="E88" s="80"/>
      <c r="F88" s="14" t="s">
        <v>275</v>
      </c>
      <c r="H88" s="160">
        <f>H82/100*H81</f>
        <v>0</v>
      </c>
      <c r="I88" s="161"/>
      <c r="J88" s="162"/>
      <c r="L88" s="163">
        <f>L82/100*L81*0.4</f>
        <v>0</v>
      </c>
      <c r="M88" s="163"/>
      <c r="N88" s="163"/>
      <c r="P88" s="163">
        <f>P82/100*P81*0.4</f>
        <v>0</v>
      </c>
      <c r="Q88" s="163"/>
      <c r="R88" s="163"/>
      <c r="T88" s="163">
        <f>T82/100*T81*0.4</f>
        <v>0</v>
      </c>
      <c r="U88" s="163"/>
      <c r="V88" s="163"/>
      <c r="X88" s="163">
        <f>X82/100*X81*0.4</f>
        <v>0</v>
      </c>
      <c r="Y88" s="163"/>
      <c r="Z88" s="163"/>
      <c r="AB88" s="163">
        <f>AB82/100*AB81*0.4</f>
        <v>0</v>
      </c>
      <c r="AC88" s="163"/>
      <c r="AD88" s="163"/>
      <c r="AF88" s="163">
        <f>AF82/100*AF81*0.4</f>
        <v>0</v>
      </c>
      <c r="AG88" s="163"/>
      <c r="AH88" s="163"/>
      <c r="AJ88" s="163">
        <f>AJ82/100*AJ81*0.4</f>
        <v>0</v>
      </c>
      <c r="AK88" s="163"/>
      <c r="AL88" s="194"/>
    </row>
    <row r="89" spans="1:42" x14ac:dyDescent="0.25">
      <c r="A89" s="137" t="s">
        <v>372</v>
      </c>
      <c r="B89" s="138"/>
      <c r="D89" s="82" t="s">
        <v>51</v>
      </c>
      <c r="E89" s="82"/>
      <c r="F89" s="14" t="s">
        <v>276</v>
      </c>
      <c r="H89" s="125">
        <f>0.5*H88*3600</f>
        <v>0</v>
      </c>
      <c r="I89" s="126"/>
      <c r="J89" s="127"/>
      <c r="L89" s="78">
        <f>0.5*L88*3600</f>
        <v>0</v>
      </c>
      <c r="M89" s="78"/>
      <c r="N89" s="78"/>
      <c r="P89" s="78">
        <f>0.5*P88*3600</f>
        <v>0</v>
      </c>
      <c r="Q89" s="78"/>
      <c r="R89" s="78"/>
      <c r="T89" s="78">
        <f>0.5*T88*3600</f>
        <v>0</v>
      </c>
      <c r="U89" s="78"/>
      <c r="V89" s="78"/>
      <c r="X89" s="78">
        <f>0.5*X88*3600</f>
        <v>0</v>
      </c>
      <c r="Y89" s="78"/>
      <c r="Z89" s="78"/>
      <c r="AB89" s="78">
        <f>0.5*AB88*3600</f>
        <v>0</v>
      </c>
      <c r="AC89" s="78"/>
      <c r="AD89" s="78"/>
      <c r="AF89" s="78">
        <f>0.5*AF88*3600</f>
        <v>0</v>
      </c>
      <c r="AG89" s="78"/>
      <c r="AH89" s="78"/>
      <c r="AJ89" s="78">
        <f>0.5*AJ88*3600</f>
        <v>0</v>
      </c>
      <c r="AK89" s="78"/>
      <c r="AL89" s="79"/>
    </row>
    <row r="90" spans="1:42" ht="15" customHeight="1" x14ac:dyDescent="0.25">
      <c r="A90" s="137" t="s">
        <v>148</v>
      </c>
      <c r="B90" s="138"/>
      <c r="D90" s="82" t="s">
        <v>52</v>
      </c>
      <c r="E90" s="82"/>
      <c r="F90" s="14" t="s">
        <v>53</v>
      </c>
      <c r="H90" s="164" t="s">
        <v>54</v>
      </c>
      <c r="I90" s="165"/>
      <c r="J90" s="166"/>
      <c r="K90" s="53"/>
      <c r="L90" s="159" t="s">
        <v>54</v>
      </c>
      <c r="M90" s="159"/>
      <c r="N90" s="159"/>
      <c r="O90" s="53"/>
      <c r="P90" s="159" t="s">
        <v>54</v>
      </c>
      <c r="Q90" s="159"/>
      <c r="R90" s="159"/>
      <c r="S90" s="53"/>
      <c r="T90" s="159" t="s">
        <v>54</v>
      </c>
      <c r="U90" s="159"/>
      <c r="V90" s="159"/>
      <c r="W90" s="53"/>
      <c r="X90" s="159" t="s">
        <v>54</v>
      </c>
      <c r="Y90" s="159"/>
      <c r="Z90" s="159"/>
      <c r="AA90" s="53"/>
      <c r="AB90" s="159" t="s">
        <v>54</v>
      </c>
      <c r="AC90" s="159"/>
      <c r="AD90" s="159"/>
      <c r="AE90" s="53"/>
      <c r="AF90" s="159" t="s">
        <v>54</v>
      </c>
      <c r="AG90" s="159"/>
      <c r="AH90" s="159"/>
      <c r="AI90" s="53"/>
      <c r="AJ90" s="159" t="s">
        <v>54</v>
      </c>
      <c r="AK90" s="159"/>
      <c r="AL90" s="197"/>
      <c r="AM90" s="17"/>
    </row>
    <row r="91" spans="1:42" ht="15" customHeight="1" x14ac:dyDescent="0.25">
      <c r="A91" s="142"/>
      <c r="B91" s="143"/>
      <c r="D91" s="30"/>
      <c r="F91" s="19"/>
      <c r="H91" s="18"/>
      <c r="I91" s="17"/>
      <c r="M91" s="17"/>
      <c r="Q91" s="17"/>
      <c r="U91" s="17"/>
      <c r="Y91" s="17"/>
      <c r="AC91" s="17"/>
      <c r="AG91" s="17"/>
      <c r="AK91" s="17"/>
      <c r="AL91" s="19"/>
    </row>
    <row r="92" spans="1:42" ht="15" customHeight="1" x14ac:dyDescent="0.25">
      <c r="A92" s="139" t="s">
        <v>149</v>
      </c>
      <c r="B92" s="140"/>
      <c r="D92" s="140" t="s">
        <v>437</v>
      </c>
      <c r="E92" s="140"/>
      <c r="F92" s="19"/>
      <c r="H92" s="18"/>
      <c r="AL92" s="19"/>
    </row>
    <row r="93" spans="1:42" x14ac:dyDescent="0.25">
      <c r="A93" s="141" t="s">
        <v>283</v>
      </c>
      <c r="B93" s="134"/>
      <c r="D93" s="114" t="s">
        <v>279</v>
      </c>
      <c r="E93" s="115"/>
      <c r="F93" s="14" t="s">
        <v>280</v>
      </c>
      <c r="H93" s="81">
        <v>18</v>
      </c>
      <c r="I93" s="78"/>
      <c r="J93" s="78"/>
      <c r="L93" s="78">
        <v>14</v>
      </c>
      <c r="M93" s="78"/>
      <c r="N93" s="78"/>
      <c r="P93" s="78">
        <v>14</v>
      </c>
      <c r="Q93" s="78"/>
      <c r="R93" s="78"/>
      <c r="T93" s="78">
        <v>14</v>
      </c>
      <c r="U93" s="78"/>
      <c r="V93" s="78"/>
      <c r="X93" s="78">
        <v>18</v>
      </c>
      <c r="Y93" s="78"/>
      <c r="Z93" s="78"/>
      <c r="AB93" s="78">
        <v>14</v>
      </c>
      <c r="AC93" s="78"/>
      <c r="AD93" s="78"/>
      <c r="AF93" s="78">
        <v>14</v>
      </c>
      <c r="AG93" s="78"/>
      <c r="AH93" s="78"/>
      <c r="AJ93" s="78">
        <v>14</v>
      </c>
      <c r="AK93" s="78"/>
      <c r="AL93" s="79"/>
    </row>
    <row r="94" spans="1:42" x14ac:dyDescent="0.25">
      <c r="A94" s="137" t="s">
        <v>150</v>
      </c>
      <c r="B94" s="138"/>
      <c r="D94" s="82" t="s">
        <v>55</v>
      </c>
      <c r="E94" s="82"/>
      <c r="F94" s="14" t="s">
        <v>56</v>
      </c>
      <c r="H94" s="81">
        <f>ROUND((H30/2*600+2.3*H25*9.81)/1000,0)+1</f>
        <v>1</v>
      </c>
      <c r="I94" s="78"/>
      <c r="J94" s="78"/>
      <c r="L94" s="78">
        <f>ROUND((L30/2*600+2.3*L25*9.81)/1000,0)+1</f>
        <v>1</v>
      </c>
      <c r="M94" s="78"/>
      <c r="N94" s="78"/>
      <c r="P94" s="78">
        <f>ROUND((P30/2*600+2.3*P25*9.81)/1000,0)+1</f>
        <v>1</v>
      </c>
      <c r="Q94" s="78"/>
      <c r="R94" s="78"/>
      <c r="T94" s="78">
        <f>ROUND((T30/2*600+2.3*T25*9.81)/1000,0)+1</f>
        <v>1</v>
      </c>
      <c r="U94" s="78"/>
      <c r="V94" s="78"/>
      <c r="X94" s="78">
        <f>ROUND((X30/2*600+2.3*X25*9.81)/1000,0)+1</f>
        <v>1</v>
      </c>
      <c r="Y94" s="78"/>
      <c r="Z94" s="78"/>
      <c r="AB94" s="78">
        <f>ROUND((AB30/2*600+2.3*AB25*9.81)/1000,0)+1</f>
        <v>1</v>
      </c>
      <c r="AC94" s="78"/>
      <c r="AD94" s="78"/>
      <c r="AF94" s="78">
        <f>ROUND((AF30/2*600+2.3*AF25*9.81)/1000,0)+1</f>
        <v>1</v>
      </c>
      <c r="AG94" s="78"/>
      <c r="AH94" s="78"/>
      <c r="AJ94" s="78">
        <f>ROUND((AJ30/2*600+2.3*AJ25*9.81)/1000,0)+1</f>
        <v>1</v>
      </c>
      <c r="AK94" s="78"/>
      <c r="AL94" s="79"/>
    </row>
    <row r="95" spans="1:42" x14ac:dyDescent="0.25">
      <c r="A95" s="141" t="s">
        <v>285</v>
      </c>
      <c r="B95" s="134"/>
      <c r="D95" s="114" t="s">
        <v>272</v>
      </c>
      <c r="E95" s="115"/>
      <c r="F95" s="14" t="s">
        <v>271</v>
      </c>
      <c r="H95" s="81">
        <v>6</v>
      </c>
      <c r="I95" s="78"/>
      <c r="J95" s="78"/>
      <c r="L95" s="78">
        <v>2</v>
      </c>
      <c r="M95" s="78"/>
      <c r="N95" s="78"/>
      <c r="P95" s="78">
        <v>2</v>
      </c>
      <c r="Q95" s="78"/>
      <c r="R95" s="78"/>
      <c r="T95" s="78">
        <v>2</v>
      </c>
      <c r="U95" s="78"/>
      <c r="V95" s="78"/>
      <c r="X95" s="78">
        <v>2</v>
      </c>
      <c r="Y95" s="78"/>
      <c r="Z95" s="78"/>
      <c r="AB95" s="78">
        <v>2</v>
      </c>
      <c r="AC95" s="78"/>
      <c r="AD95" s="78"/>
      <c r="AF95" s="78">
        <v>2</v>
      </c>
      <c r="AG95" s="78"/>
      <c r="AH95" s="78"/>
      <c r="AJ95" s="78">
        <v>2</v>
      </c>
      <c r="AK95" s="78"/>
      <c r="AL95" s="79"/>
    </row>
    <row r="96" spans="1:42" x14ac:dyDescent="0.25">
      <c r="A96" s="137" t="s">
        <v>151</v>
      </c>
      <c r="B96" s="138"/>
      <c r="C96" s="16"/>
      <c r="D96" s="82" t="s">
        <v>57</v>
      </c>
      <c r="E96" s="82"/>
      <c r="F96" s="14" t="s">
        <v>56</v>
      </c>
      <c r="H96" s="81">
        <f>ROUND(2.3*H25*9.81/1000*4/H95,0)+1</f>
        <v>1</v>
      </c>
      <c r="I96" s="78"/>
      <c r="J96" s="78"/>
      <c r="L96" s="78">
        <f>ROUND(2.3*L25*9.81/1000*4/L95,0)+1</f>
        <v>1</v>
      </c>
      <c r="M96" s="78"/>
      <c r="N96" s="78"/>
      <c r="P96" s="78">
        <f>ROUND(2.3*P25*9.81/1000*4/P95,0)+1</f>
        <v>1</v>
      </c>
      <c r="Q96" s="78"/>
      <c r="R96" s="78"/>
      <c r="T96" s="78">
        <f>ROUND(2.3*T25*9.81/1000*4/T95,0)+1</f>
        <v>1</v>
      </c>
      <c r="U96" s="78"/>
      <c r="V96" s="78"/>
      <c r="X96" s="78">
        <f>ROUND(2.3*X25*9.81/1000*4/X95,0)+1</f>
        <v>1</v>
      </c>
      <c r="Y96" s="78"/>
      <c r="Z96" s="78"/>
      <c r="AB96" s="78">
        <f>ROUND(2.3*AB25*9.81/1000*4/AB95,0)+1</f>
        <v>1</v>
      </c>
      <c r="AC96" s="78"/>
      <c r="AD96" s="78"/>
      <c r="AF96" s="78">
        <f>ROUND(2.3*AF25*9.81/1000*4/AF95,0)+1</f>
        <v>1</v>
      </c>
      <c r="AG96" s="78"/>
      <c r="AH96" s="78"/>
      <c r="AJ96" s="78">
        <f>ROUND(2.3*AJ25*9.81/1000*4/AJ95,0)+1</f>
        <v>1</v>
      </c>
      <c r="AK96" s="78"/>
      <c r="AL96" s="79"/>
    </row>
    <row r="97" spans="1:44" s="16" customFormat="1" x14ac:dyDescent="0.25">
      <c r="A97" s="135" t="s">
        <v>152</v>
      </c>
      <c r="B97" s="136"/>
      <c r="D97" s="80" t="s">
        <v>58</v>
      </c>
      <c r="E97" s="80"/>
      <c r="F97" s="14" t="s">
        <v>26</v>
      </c>
      <c r="H97" s="81" t="s">
        <v>278</v>
      </c>
      <c r="I97" s="78"/>
      <c r="J97" s="78"/>
      <c r="L97" s="78" t="s">
        <v>278</v>
      </c>
      <c r="M97" s="78"/>
      <c r="N97" s="78"/>
      <c r="P97" s="78" t="s">
        <v>278</v>
      </c>
      <c r="Q97" s="78"/>
      <c r="R97" s="78"/>
      <c r="T97" s="78" t="s">
        <v>278</v>
      </c>
      <c r="U97" s="78"/>
      <c r="V97" s="78"/>
      <c r="X97" s="78" t="s">
        <v>278</v>
      </c>
      <c r="Y97" s="78"/>
      <c r="Z97" s="78"/>
      <c r="AB97" s="78" t="s">
        <v>278</v>
      </c>
      <c r="AC97" s="78"/>
      <c r="AD97" s="78"/>
      <c r="AF97" s="78" t="s">
        <v>278</v>
      </c>
      <c r="AG97" s="78"/>
      <c r="AH97" s="78"/>
      <c r="AJ97" s="78" t="s">
        <v>278</v>
      </c>
      <c r="AK97" s="78"/>
      <c r="AL97" s="79"/>
      <c r="AN97" s="17"/>
      <c r="AO97" s="17"/>
      <c r="AP97" s="17"/>
      <c r="AR97" s="17"/>
    </row>
    <row r="98" spans="1:44" x14ac:dyDescent="0.25">
      <c r="A98" s="141" t="s">
        <v>284</v>
      </c>
      <c r="B98" s="134"/>
      <c r="D98" s="114" t="s">
        <v>273</v>
      </c>
      <c r="E98" s="115"/>
      <c r="F98" s="14" t="s">
        <v>271</v>
      </c>
      <c r="H98" s="81">
        <v>2</v>
      </c>
      <c r="I98" s="78"/>
      <c r="J98" s="78"/>
      <c r="L98" s="78">
        <v>2</v>
      </c>
      <c r="M98" s="78"/>
      <c r="N98" s="78"/>
      <c r="P98" s="78">
        <v>2</v>
      </c>
      <c r="Q98" s="78"/>
      <c r="R98" s="78"/>
      <c r="T98" s="78">
        <v>2</v>
      </c>
      <c r="U98" s="78"/>
      <c r="V98" s="78"/>
      <c r="X98" s="78">
        <v>2</v>
      </c>
      <c r="Y98" s="78"/>
      <c r="Z98" s="78"/>
      <c r="AB98" s="78">
        <v>2</v>
      </c>
      <c r="AC98" s="78"/>
      <c r="AD98" s="78"/>
      <c r="AF98" s="78">
        <v>2</v>
      </c>
      <c r="AG98" s="78"/>
      <c r="AH98" s="78"/>
      <c r="AJ98" s="78">
        <v>2</v>
      </c>
      <c r="AK98" s="78"/>
      <c r="AL98" s="79"/>
    </row>
    <row r="99" spans="1:44" x14ac:dyDescent="0.25">
      <c r="A99" s="141" t="s">
        <v>286</v>
      </c>
      <c r="B99" s="134"/>
      <c r="D99" s="114" t="s">
        <v>287</v>
      </c>
      <c r="E99" s="115"/>
      <c r="F99" s="14" t="s">
        <v>280</v>
      </c>
      <c r="H99" s="81">
        <v>14</v>
      </c>
      <c r="I99" s="78"/>
      <c r="J99" s="78"/>
      <c r="L99" s="78">
        <v>14</v>
      </c>
      <c r="M99" s="78"/>
      <c r="N99" s="78"/>
      <c r="P99" s="78">
        <v>14</v>
      </c>
      <c r="Q99" s="78"/>
      <c r="R99" s="78"/>
      <c r="T99" s="78">
        <v>14</v>
      </c>
      <c r="U99" s="78"/>
      <c r="V99" s="78"/>
      <c r="X99" s="78">
        <v>14</v>
      </c>
      <c r="Y99" s="78"/>
      <c r="Z99" s="78"/>
      <c r="AB99" s="78">
        <v>14</v>
      </c>
      <c r="AC99" s="78"/>
      <c r="AD99" s="78"/>
      <c r="AF99" s="78">
        <v>14</v>
      </c>
      <c r="AG99" s="78"/>
      <c r="AH99" s="78"/>
      <c r="AJ99" s="78">
        <v>14</v>
      </c>
      <c r="AK99" s="78"/>
      <c r="AL99" s="79"/>
    </row>
    <row r="100" spans="1:44" s="16" customFormat="1" x14ac:dyDescent="0.25">
      <c r="A100" s="137" t="s">
        <v>153</v>
      </c>
      <c r="B100" s="138"/>
      <c r="D100" s="82" t="s">
        <v>59</v>
      </c>
      <c r="E100" s="82"/>
      <c r="F100" s="14" t="s">
        <v>56</v>
      </c>
      <c r="H100" s="81">
        <f>IF(H97="n",ROUND((H30/2.5*600)/1000,0)+1,ROUND((H30/2.5*600+1.7*H25*9.81)/1000,0)+1)</f>
        <v>1</v>
      </c>
      <c r="I100" s="78"/>
      <c r="J100" s="78"/>
      <c r="L100" s="78">
        <f>IF(L97="n",ROUND((L30/2.5*600)/1000,0)+1,ROUND((L30/2.5*600+1.7*L25*9.81)/1000,0)+1)</f>
        <v>1</v>
      </c>
      <c r="M100" s="78"/>
      <c r="N100" s="78"/>
      <c r="P100" s="78">
        <f>IF(P97="n",ROUND((P30/2.5*600)/1000,0)+1,ROUND((P30/2.5*600+1.7*P25*9.81)/1000,0)+1)</f>
        <v>1</v>
      </c>
      <c r="Q100" s="78"/>
      <c r="R100" s="78"/>
      <c r="T100" s="78">
        <f>IF(T97="n",ROUND((T30/2.5*600)/1000,0)+1,ROUND((T30/2.5*600+1.7*T25*9.81)/1000,0)+1)</f>
        <v>1</v>
      </c>
      <c r="U100" s="78"/>
      <c r="V100" s="78"/>
      <c r="X100" s="78">
        <f>IF(X97="n",ROUND((X30/2.5*600)/1000,0)+1,ROUND((X30/2.5*600+1.7*X25*9.81)/1000,0)+1)</f>
        <v>1</v>
      </c>
      <c r="Y100" s="78"/>
      <c r="Z100" s="78"/>
      <c r="AB100" s="78">
        <f>IF(AB97="n",ROUND((AB30/2.5*600)/1000,0)+1,ROUND((AB30/2.5*600+1.7*AB25*9.81)/1000,0)+1)</f>
        <v>1</v>
      </c>
      <c r="AC100" s="78"/>
      <c r="AD100" s="78"/>
      <c r="AF100" s="78">
        <f>IF(AF97="n",ROUND((AF30/2.5*600)/1000,0)+1,ROUND((AF30/2.5*600+1.7*AF25*9.81)/1000,0)+1)</f>
        <v>1</v>
      </c>
      <c r="AG100" s="78"/>
      <c r="AH100" s="78"/>
      <c r="AJ100" s="78">
        <f>IF(AJ97="n",ROUND((AJ30/2.5*600)/1000,0)+1,ROUND((AJ30/2.5*600+1.7*AJ25*9.81)/1000,0)+1)</f>
        <v>1</v>
      </c>
      <c r="AK100" s="78"/>
      <c r="AL100" s="79"/>
      <c r="AN100" s="17"/>
      <c r="AO100" s="17"/>
      <c r="AP100" s="17"/>
    </row>
    <row r="101" spans="1:44" s="16" customFormat="1" x14ac:dyDescent="0.25">
      <c r="A101" s="137" t="s">
        <v>154</v>
      </c>
      <c r="B101" s="138"/>
      <c r="D101" s="82" t="s">
        <v>60</v>
      </c>
      <c r="E101" s="82"/>
      <c r="F101" s="14" t="s">
        <v>56</v>
      </c>
      <c r="H101" s="81">
        <f>ROUND(1.7*H25*9.81/1000*4/H98,0)</f>
        <v>0</v>
      </c>
      <c r="I101" s="78"/>
      <c r="J101" s="78"/>
      <c r="L101" s="78">
        <f>ROUND(1.7*L25*9.81/1000*4/L98,0)</f>
        <v>0</v>
      </c>
      <c r="M101" s="78"/>
      <c r="N101" s="78"/>
      <c r="P101" s="78">
        <f>ROUND(1.7*P25*9.81/1000*4/P98,0)</f>
        <v>0</v>
      </c>
      <c r="Q101" s="78"/>
      <c r="R101" s="78"/>
      <c r="T101" s="78">
        <f>ROUND(1.7*T25*9.81/1000*4/T98,0)</f>
        <v>0</v>
      </c>
      <c r="U101" s="78"/>
      <c r="V101" s="78"/>
      <c r="X101" s="78">
        <f>ROUND(1.7*X25*9.81/1000*4/X98,0)</f>
        <v>0</v>
      </c>
      <c r="Y101" s="78"/>
      <c r="Z101" s="78"/>
      <c r="AB101" s="78">
        <f>ROUND(1.7*AB25*9.81/1000*4/AB98,0)</f>
        <v>0</v>
      </c>
      <c r="AC101" s="78"/>
      <c r="AD101" s="78"/>
      <c r="AF101" s="78">
        <f>ROUND(1.7*AF25*9.81/1000*4/AF98,0)</f>
        <v>0</v>
      </c>
      <c r="AG101" s="78"/>
      <c r="AH101" s="78"/>
      <c r="AJ101" s="78">
        <f>ROUND(1.7*AJ25*9.81/1000*4/AJ98,0)</f>
        <v>0</v>
      </c>
      <c r="AK101" s="78"/>
      <c r="AL101" s="79"/>
      <c r="AN101" s="17"/>
      <c r="AO101" s="17"/>
      <c r="AP101" s="17"/>
    </row>
    <row r="102" spans="1:44" s="16" customFormat="1" x14ac:dyDescent="0.25">
      <c r="A102" s="137" t="s">
        <v>155</v>
      </c>
      <c r="B102" s="138"/>
      <c r="D102" s="82" t="s">
        <v>61</v>
      </c>
      <c r="E102" s="82"/>
      <c r="F102" s="14" t="s">
        <v>56</v>
      </c>
      <c r="H102" s="81">
        <v>20</v>
      </c>
      <c r="I102" s="78"/>
      <c r="J102" s="78"/>
      <c r="L102" s="78">
        <v>20</v>
      </c>
      <c r="M102" s="78"/>
      <c r="N102" s="78"/>
      <c r="P102" s="78">
        <v>20</v>
      </c>
      <c r="Q102" s="78"/>
      <c r="R102" s="78"/>
      <c r="T102" s="78">
        <v>20</v>
      </c>
      <c r="U102" s="78"/>
      <c r="V102" s="78"/>
      <c r="X102" s="78">
        <v>20</v>
      </c>
      <c r="Y102" s="78"/>
      <c r="Z102" s="78"/>
      <c r="AB102" s="78">
        <v>20</v>
      </c>
      <c r="AC102" s="78"/>
      <c r="AD102" s="78"/>
      <c r="AF102" s="78">
        <v>20</v>
      </c>
      <c r="AG102" s="78"/>
      <c r="AH102" s="78"/>
      <c r="AJ102" s="78">
        <v>20</v>
      </c>
      <c r="AK102" s="78"/>
      <c r="AL102" s="79"/>
      <c r="AN102" s="17"/>
      <c r="AO102" s="17"/>
      <c r="AP102" s="17"/>
    </row>
    <row r="103" spans="1:44" s="16" customFormat="1" x14ac:dyDescent="0.25">
      <c r="A103" s="137" t="s">
        <v>156</v>
      </c>
      <c r="B103" s="138"/>
      <c r="C103" s="17"/>
      <c r="D103" s="82" t="s">
        <v>62</v>
      </c>
      <c r="E103" s="82"/>
      <c r="F103" s="14" t="s">
        <v>56</v>
      </c>
      <c r="H103" s="81">
        <f>ROUND(1.7*H25*9.81/1000,0)+1</f>
        <v>1</v>
      </c>
      <c r="I103" s="78"/>
      <c r="J103" s="78"/>
      <c r="L103" s="78">
        <f>ROUND(1.7*L25*9.81/1000,0)+1</f>
        <v>1</v>
      </c>
      <c r="M103" s="78"/>
      <c r="N103" s="78"/>
      <c r="P103" s="78">
        <f>ROUND(1.7*P25*9.81/1000,0)+1</f>
        <v>1</v>
      </c>
      <c r="Q103" s="78"/>
      <c r="R103" s="78"/>
      <c r="T103" s="78">
        <f>ROUND(1.7*T25*9.81/1000,0)+1</f>
        <v>1</v>
      </c>
      <c r="U103" s="78"/>
      <c r="V103" s="78"/>
      <c r="X103" s="78">
        <f>ROUND(1.7*X25*9.81/1000,0)+1</f>
        <v>1</v>
      </c>
      <c r="Y103" s="78"/>
      <c r="Z103" s="78"/>
      <c r="AB103" s="78">
        <f>ROUND(1.7*AB25*9.81/1000,0)+1</f>
        <v>1</v>
      </c>
      <c r="AC103" s="78"/>
      <c r="AD103" s="78"/>
      <c r="AF103" s="78">
        <f>ROUND(1.7*AF25*9.81/1000,0)+1</f>
        <v>1</v>
      </c>
      <c r="AG103" s="78"/>
      <c r="AH103" s="78"/>
      <c r="AJ103" s="78">
        <f>ROUND(1.7*AJ25*9.81/1000,0)+1</f>
        <v>1</v>
      </c>
      <c r="AK103" s="78"/>
      <c r="AL103" s="79"/>
      <c r="AN103" s="17"/>
      <c r="AO103" s="17"/>
      <c r="AP103" s="17"/>
    </row>
    <row r="104" spans="1:44" x14ac:dyDescent="0.25">
      <c r="A104" s="137" t="s">
        <v>157</v>
      </c>
      <c r="B104" s="138"/>
      <c r="D104" s="82" t="s">
        <v>63</v>
      </c>
      <c r="E104" s="82"/>
      <c r="F104" s="14" t="s">
        <v>56</v>
      </c>
      <c r="H104" s="81">
        <f>ROUND(2.3*H25*9.81/1000,0)+1</f>
        <v>1</v>
      </c>
      <c r="I104" s="78"/>
      <c r="J104" s="78"/>
      <c r="L104" s="78">
        <f>ROUND(2.3*L25*9.81/1000,0)+1</f>
        <v>1</v>
      </c>
      <c r="M104" s="78"/>
      <c r="N104" s="78"/>
      <c r="P104" s="78">
        <f>ROUND(2.3*P25*9.81/1000,0)+1</f>
        <v>1</v>
      </c>
      <c r="Q104" s="78"/>
      <c r="R104" s="78"/>
      <c r="T104" s="78">
        <f>ROUND(2.3*T25*9.81/1000,0)+1</f>
        <v>1</v>
      </c>
      <c r="U104" s="78"/>
      <c r="V104" s="78"/>
      <c r="X104" s="78">
        <f>ROUND(2.3*X25*9.81/1000,0)+1</f>
        <v>1</v>
      </c>
      <c r="Y104" s="78"/>
      <c r="Z104" s="78"/>
      <c r="AB104" s="78">
        <f>ROUND(2.3*AB25*9.81/1000,0)+1</f>
        <v>1</v>
      </c>
      <c r="AC104" s="78"/>
      <c r="AD104" s="78"/>
      <c r="AF104" s="78">
        <f>ROUND(2.3*AF25*9.81/1000,0)+1</f>
        <v>1</v>
      </c>
      <c r="AG104" s="78"/>
      <c r="AH104" s="78"/>
      <c r="AJ104" s="78">
        <f>ROUND(2.3*AJ25*9.81/1000,0)+1</f>
        <v>1</v>
      </c>
      <c r="AK104" s="78"/>
      <c r="AL104" s="79"/>
    </row>
    <row r="105" spans="1:44" x14ac:dyDescent="0.25">
      <c r="A105" s="137" t="s">
        <v>158</v>
      </c>
      <c r="B105" s="138"/>
      <c r="D105" s="82" t="s">
        <v>64</v>
      </c>
      <c r="E105" s="82"/>
      <c r="F105" s="14" t="s">
        <v>56</v>
      </c>
      <c r="H105" s="81"/>
      <c r="I105" s="78"/>
      <c r="J105" s="78"/>
      <c r="L105" s="78"/>
      <c r="M105" s="78"/>
      <c r="N105" s="78"/>
      <c r="P105" s="78"/>
      <c r="Q105" s="78"/>
      <c r="R105" s="78"/>
      <c r="T105" s="78"/>
      <c r="U105" s="78"/>
      <c r="V105" s="78"/>
      <c r="X105" s="78"/>
      <c r="Y105" s="78"/>
      <c r="Z105" s="78"/>
      <c r="AB105" s="78"/>
      <c r="AC105" s="78"/>
      <c r="AD105" s="78"/>
      <c r="AF105" s="78"/>
      <c r="AG105" s="78"/>
      <c r="AH105" s="78"/>
      <c r="AJ105" s="78"/>
      <c r="AK105" s="78"/>
      <c r="AL105" s="79"/>
    </row>
    <row r="106" spans="1:44" x14ac:dyDescent="0.25">
      <c r="A106" s="137" t="s">
        <v>159</v>
      </c>
      <c r="B106" s="138"/>
      <c r="D106" s="82" t="s">
        <v>65</v>
      </c>
      <c r="E106" s="82"/>
      <c r="F106" s="14" t="s">
        <v>56</v>
      </c>
      <c r="H106" s="81"/>
      <c r="I106" s="78"/>
      <c r="J106" s="78"/>
      <c r="L106" s="78"/>
      <c r="M106" s="78"/>
      <c r="N106" s="78"/>
      <c r="P106" s="78"/>
      <c r="Q106" s="78"/>
      <c r="R106" s="78"/>
      <c r="T106" s="78"/>
      <c r="U106" s="78"/>
      <c r="V106" s="78"/>
      <c r="X106" s="78"/>
      <c r="Y106" s="78"/>
      <c r="Z106" s="78"/>
      <c r="AB106" s="78"/>
      <c r="AC106" s="78"/>
      <c r="AD106" s="78"/>
      <c r="AF106" s="78"/>
      <c r="AG106" s="78"/>
      <c r="AH106" s="78"/>
      <c r="AJ106" s="78"/>
      <c r="AK106" s="78"/>
      <c r="AL106" s="79"/>
    </row>
    <row r="107" spans="1:44" x14ac:dyDescent="0.25">
      <c r="A107" s="137" t="s">
        <v>160</v>
      </c>
      <c r="B107" s="138"/>
      <c r="D107" s="82" t="s">
        <v>66</v>
      </c>
      <c r="E107" s="82"/>
      <c r="F107" s="14" t="s">
        <v>56</v>
      </c>
      <c r="H107" s="81"/>
      <c r="I107" s="78"/>
      <c r="J107" s="78"/>
      <c r="L107" s="78"/>
      <c r="M107" s="78"/>
      <c r="N107" s="78"/>
      <c r="P107" s="78"/>
      <c r="Q107" s="78"/>
      <c r="R107" s="78"/>
      <c r="T107" s="78"/>
      <c r="U107" s="78"/>
      <c r="V107" s="78"/>
      <c r="X107" s="78"/>
      <c r="Y107" s="78"/>
      <c r="Z107" s="78"/>
      <c r="AB107" s="78"/>
      <c r="AC107" s="78"/>
      <c r="AD107" s="78"/>
      <c r="AF107" s="78"/>
      <c r="AG107" s="78"/>
      <c r="AH107" s="78"/>
      <c r="AJ107" s="78"/>
      <c r="AK107" s="78"/>
      <c r="AL107" s="79"/>
    </row>
    <row r="108" spans="1:44" ht="15" customHeight="1" x14ac:dyDescent="0.25">
      <c r="A108" s="137" t="s">
        <v>161</v>
      </c>
      <c r="B108" s="138"/>
      <c r="D108" s="82" t="s">
        <v>67</v>
      </c>
      <c r="E108" s="82"/>
      <c r="F108" s="14" t="s">
        <v>56</v>
      </c>
      <c r="H108" s="81"/>
      <c r="I108" s="78"/>
      <c r="J108" s="78"/>
      <c r="L108" s="78"/>
      <c r="M108" s="78"/>
      <c r="N108" s="78"/>
      <c r="P108" s="78"/>
      <c r="Q108" s="78"/>
      <c r="R108" s="78"/>
      <c r="T108" s="78"/>
      <c r="U108" s="78"/>
      <c r="V108" s="78"/>
      <c r="X108" s="78"/>
      <c r="Y108" s="78"/>
      <c r="Z108" s="78"/>
      <c r="AB108" s="78"/>
      <c r="AC108" s="78"/>
      <c r="AD108" s="78"/>
      <c r="AF108" s="78"/>
      <c r="AG108" s="78"/>
      <c r="AH108" s="78"/>
      <c r="AJ108" s="78"/>
      <c r="AK108" s="78"/>
      <c r="AL108" s="79"/>
    </row>
    <row r="109" spans="1:44" ht="15" customHeight="1" x14ac:dyDescent="0.25">
      <c r="A109" s="142"/>
      <c r="B109" s="143"/>
      <c r="F109" s="19"/>
      <c r="H109" s="18"/>
      <c r="I109" s="17"/>
      <c r="M109" s="17"/>
      <c r="Q109" s="17"/>
      <c r="U109" s="17"/>
      <c r="Y109" s="17"/>
      <c r="AC109" s="17"/>
      <c r="AG109" s="17"/>
      <c r="AK109" s="17"/>
      <c r="AL109" s="19"/>
    </row>
    <row r="110" spans="1:44" ht="15" customHeight="1" x14ac:dyDescent="0.25">
      <c r="A110" s="139" t="s">
        <v>162</v>
      </c>
      <c r="B110" s="140"/>
      <c r="D110" s="140" t="s">
        <v>438</v>
      </c>
      <c r="E110" s="140"/>
      <c r="F110" s="19"/>
      <c r="H110" s="18"/>
      <c r="AL110" s="19"/>
    </row>
    <row r="111" spans="1:44" x14ac:dyDescent="0.25">
      <c r="A111" s="141" t="s">
        <v>256</v>
      </c>
      <c r="B111" s="134"/>
      <c r="D111" s="80" t="s">
        <v>216</v>
      </c>
      <c r="E111" s="80"/>
      <c r="F111" s="14" t="s">
        <v>26</v>
      </c>
      <c r="H111" s="125"/>
      <c r="I111" s="126"/>
      <c r="J111" s="127"/>
      <c r="L111" s="128"/>
      <c r="M111" s="126"/>
      <c r="N111" s="127"/>
      <c r="P111" s="128"/>
      <c r="Q111" s="126"/>
      <c r="R111" s="127"/>
      <c r="T111" s="128"/>
      <c r="U111" s="126"/>
      <c r="V111" s="127"/>
      <c r="X111" s="128"/>
      <c r="Y111" s="126"/>
      <c r="Z111" s="127"/>
      <c r="AB111" s="128"/>
      <c r="AC111" s="126"/>
      <c r="AD111" s="127"/>
      <c r="AF111" s="128"/>
      <c r="AG111" s="126"/>
      <c r="AH111" s="127"/>
      <c r="AJ111" s="128"/>
      <c r="AK111" s="126"/>
      <c r="AL111" s="192"/>
    </row>
    <row r="112" spans="1:44" x14ac:dyDescent="0.25">
      <c r="A112" s="141" t="s">
        <v>163</v>
      </c>
      <c r="B112" s="134"/>
      <c r="D112" s="80" t="s">
        <v>68</v>
      </c>
      <c r="E112" s="80"/>
      <c r="F112" s="14" t="s">
        <v>26</v>
      </c>
      <c r="H112" s="125"/>
      <c r="I112" s="126"/>
      <c r="J112" s="127"/>
      <c r="L112" s="128"/>
      <c r="M112" s="126"/>
      <c r="N112" s="127"/>
      <c r="P112" s="128"/>
      <c r="Q112" s="126"/>
      <c r="R112" s="127"/>
      <c r="T112" s="128"/>
      <c r="U112" s="126"/>
      <c r="V112" s="127"/>
      <c r="X112" s="128"/>
      <c r="Y112" s="126"/>
      <c r="Z112" s="127"/>
      <c r="AB112" s="128"/>
      <c r="AC112" s="126"/>
      <c r="AD112" s="127"/>
      <c r="AF112" s="128"/>
      <c r="AG112" s="126"/>
      <c r="AH112" s="127"/>
      <c r="AJ112" s="128"/>
      <c r="AK112" s="126"/>
      <c r="AL112" s="192"/>
    </row>
    <row r="113" spans="1:42" x14ac:dyDescent="0.25">
      <c r="A113" s="141" t="s">
        <v>164</v>
      </c>
      <c r="B113" s="134"/>
      <c r="D113" s="136" t="s">
        <v>217</v>
      </c>
      <c r="E113" s="136"/>
      <c r="F113" s="14" t="s">
        <v>26</v>
      </c>
      <c r="H113" s="125"/>
      <c r="I113" s="126"/>
      <c r="J113" s="127"/>
      <c r="L113" s="128"/>
      <c r="M113" s="126"/>
      <c r="N113" s="127"/>
      <c r="P113" s="128"/>
      <c r="Q113" s="126"/>
      <c r="R113" s="127"/>
      <c r="T113" s="128"/>
      <c r="U113" s="126"/>
      <c r="V113" s="127"/>
      <c r="X113" s="128"/>
      <c r="Y113" s="126"/>
      <c r="Z113" s="127"/>
      <c r="AB113" s="128"/>
      <c r="AC113" s="126"/>
      <c r="AD113" s="127"/>
      <c r="AF113" s="128"/>
      <c r="AG113" s="126"/>
      <c r="AH113" s="127"/>
      <c r="AJ113" s="128"/>
      <c r="AK113" s="126"/>
      <c r="AL113" s="192"/>
    </row>
    <row r="114" spans="1:42" x14ac:dyDescent="0.25">
      <c r="A114" s="141" t="s">
        <v>165</v>
      </c>
      <c r="B114" s="134"/>
      <c r="D114" s="80" t="s">
        <v>92</v>
      </c>
      <c r="E114" s="80"/>
      <c r="F114" s="14" t="s">
        <v>403</v>
      </c>
      <c r="H114" s="125"/>
      <c r="I114" s="126"/>
      <c r="J114" s="127"/>
      <c r="L114" s="128"/>
      <c r="M114" s="126"/>
      <c r="N114" s="127"/>
      <c r="P114" s="128"/>
      <c r="Q114" s="126"/>
      <c r="R114" s="127"/>
      <c r="T114" s="128"/>
      <c r="U114" s="126"/>
      <c r="V114" s="127"/>
      <c r="X114" s="128"/>
      <c r="Y114" s="126"/>
      <c r="Z114" s="127"/>
      <c r="AB114" s="128"/>
      <c r="AC114" s="126"/>
      <c r="AD114" s="127"/>
      <c r="AF114" s="128"/>
      <c r="AG114" s="126"/>
      <c r="AH114" s="127"/>
      <c r="AJ114" s="128"/>
      <c r="AK114" s="126"/>
      <c r="AL114" s="192"/>
    </row>
    <row r="115" spans="1:42" x14ac:dyDescent="0.25">
      <c r="A115" s="141" t="s">
        <v>166</v>
      </c>
      <c r="B115" s="134"/>
      <c r="D115" s="80" t="s">
        <v>69</v>
      </c>
      <c r="E115" s="80"/>
      <c r="F115" s="14" t="s">
        <v>26</v>
      </c>
      <c r="H115" s="125"/>
      <c r="I115" s="126"/>
      <c r="J115" s="127"/>
      <c r="L115" s="128"/>
      <c r="M115" s="126"/>
      <c r="N115" s="127"/>
      <c r="P115" s="128"/>
      <c r="Q115" s="126"/>
      <c r="R115" s="127"/>
      <c r="T115" s="128"/>
      <c r="U115" s="126"/>
      <c r="V115" s="127"/>
      <c r="X115" s="128"/>
      <c r="Y115" s="126"/>
      <c r="Z115" s="127"/>
      <c r="AB115" s="128"/>
      <c r="AC115" s="126"/>
      <c r="AD115" s="127"/>
      <c r="AF115" s="128"/>
      <c r="AG115" s="126"/>
      <c r="AH115" s="127"/>
      <c r="AJ115" s="128"/>
      <c r="AK115" s="126"/>
      <c r="AL115" s="192"/>
      <c r="AO115" s="31"/>
      <c r="AP115" s="31"/>
    </row>
    <row r="116" spans="1:42" x14ac:dyDescent="0.25">
      <c r="A116" s="141" t="s">
        <v>167</v>
      </c>
      <c r="B116" s="134"/>
      <c r="D116" s="80" t="s">
        <v>70</v>
      </c>
      <c r="E116" s="80"/>
      <c r="F116" s="14" t="s">
        <v>26</v>
      </c>
      <c r="H116" s="125"/>
      <c r="I116" s="126"/>
      <c r="J116" s="127"/>
      <c r="L116" s="128"/>
      <c r="M116" s="126"/>
      <c r="N116" s="127"/>
      <c r="P116" s="128"/>
      <c r="Q116" s="126"/>
      <c r="R116" s="127"/>
      <c r="T116" s="128"/>
      <c r="U116" s="126"/>
      <c r="V116" s="127"/>
      <c r="X116" s="128"/>
      <c r="Y116" s="126"/>
      <c r="Z116" s="127"/>
      <c r="AB116" s="128"/>
      <c r="AC116" s="126"/>
      <c r="AD116" s="127"/>
      <c r="AF116" s="128"/>
      <c r="AG116" s="126"/>
      <c r="AH116" s="127"/>
      <c r="AJ116" s="128"/>
      <c r="AK116" s="126"/>
      <c r="AL116" s="192"/>
      <c r="AO116" s="31"/>
      <c r="AP116" s="31"/>
    </row>
    <row r="117" spans="1:42" x14ac:dyDescent="0.25">
      <c r="A117" s="141" t="s">
        <v>384</v>
      </c>
      <c r="B117" s="134"/>
      <c r="D117" s="114" t="s">
        <v>385</v>
      </c>
      <c r="E117" s="115"/>
      <c r="F117" s="14" t="s">
        <v>26</v>
      </c>
      <c r="H117" s="125"/>
      <c r="I117" s="126"/>
      <c r="J117" s="127"/>
      <c r="L117" s="128"/>
      <c r="M117" s="126"/>
      <c r="N117" s="127"/>
      <c r="P117" s="128"/>
      <c r="Q117" s="126"/>
      <c r="R117" s="127"/>
      <c r="T117" s="128"/>
      <c r="U117" s="126"/>
      <c r="V117" s="127"/>
      <c r="X117" s="128"/>
      <c r="Y117" s="126"/>
      <c r="Z117" s="127"/>
      <c r="AB117" s="128"/>
      <c r="AC117" s="126"/>
      <c r="AD117" s="127"/>
      <c r="AF117" s="128"/>
      <c r="AG117" s="126"/>
      <c r="AH117" s="127"/>
      <c r="AJ117" s="128"/>
      <c r="AK117" s="126"/>
      <c r="AL117" s="192"/>
      <c r="AO117" s="31"/>
      <c r="AP117" s="31"/>
    </row>
    <row r="118" spans="1:42" x14ac:dyDescent="0.25">
      <c r="A118" s="141" t="s">
        <v>386</v>
      </c>
      <c r="B118" s="134"/>
      <c r="D118" s="114" t="s">
        <v>387</v>
      </c>
      <c r="E118" s="115"/>
      <c r="F118" s="52" t="s">
        <v>388</v>
      </c>
      <c r="H118" s="125"/>
      <c r="I118" s="126"/>
      <c r="J118" s="127"/>
      <c r="L118" s="128"/>
      <c r="M118" s="126"/>
      <c r="N118" s="127"/>
      <c r="P118" s="128"/>
      <c r="Q118" s="126"/>
      <c r="R118" s="127"/>
      <c r="T118" s="128"/>
      <c r="U118" s="126"/>
      <c r="V118" s="127"/>
      <c r="X118" s="128"/>
      <c r="Y118" s="126"/>
      <c r="Z118" s="127"/>
      <c r="AB118" s="128"/>
      <c r="AC118" s="126"/>
      <c r="AD118" s="127"/>
      <c r="AF118" s="128"/>
      <c r="AG118" s="126"/>
      <c r="AH118" s="127"/>
      <c r="AJ118" s="128"/>
      <c r="AK118" s="126"/>
      <c r="AL118" s="192"/>
      <c r="AO118" s="31"/>
      <c r="AP118" s="31"/>
    </row>
    <row r="119" spans="1:42" x14ac:dyDescent="0.25">
      <c r="A119" s="141" t="s">
        <v>168</v>
      </c>
      <c r="B119" s="134"/>
      <c r="D119" s="80" t="s">
        <v>71</v>
      </c>
      <c r="E119" s="80"/>
      <c r="F119" s="14" t="s">
        <v>403</v>
      </c>
      <c r="H119" s="125"/>
      <c r="I119" s="126"/>
      <c r="J119" s="127"/>
      <c r="L119" s="128"/>
      <c r="M119" s="126"/>
      <c r="N119" s="127"/>
      <c r="P119" s="128"/>
      <c r="Q119" s="126"/>
      <c r="R119" s="127"/>
      <c r="T119" s="128"/>
      <c r="U119" s="126"/>
      <c r="V119" s="127"/>
      <c r="X119" s="128"/>
      <c r="Y119" s="126"/>
      <c r="Z119" s="127"/>
      <c r="AB119" s="128"/>
      <c r="AC119" s="126"/>
      <c r="AD119" s="127"/>
      <c r="AF119" s="128"/>
      <c r="AG119" s="126"/>
      <c r="AH119" s="127"/>
      <c r="AJ119" s="128"/>
      <c r="AK119" s="126"/>
      <c r="AL119" s="192"/>
      <c r="AO119" s="31"/>
      <c r="AP119" s="31"/>
    </row>
    <row r="120" spans="1:42" x14ac:dyDescent="0.25">
      <c r="A120" s="141" t="s">
        <v>243</v>
      </c>
      <c r="B120" s="134"/>
      <c r="D120" s="80" t="s">
        <v>72</v>
      </c>
      <c r="E120" s="80"/>
      <c r="F120" s="14" t="s">
        <v>290</v>
      </c>
      <c r="H120" s="81"/>
      <c r="I120" s="78"/>
      <c r="J120" s="78"/>
      <c r="L120" s="78"/>
      <c r="M120" s="78"/>
      <c r="N120" s="78"/>
      <c r="P120" s="78"/>
      <c r="Q120" s="78"/>
      <c r="R120" s="78"/>
      <c r="T120" s="78"/>
      <c r="U120" s="78"/>
      <c r="V120" s="78"/>
      <c r="X120" s="78"/>
      <c r="Y120" s="78"/>
      <c r="Z120" s="78"/>
      <c r="AB120" s="78"/>
      <c r="AC120" s="78"/>
      <c r="AD120" s="78"/>
      <c r="AF120" s="78"/>
      <c r="AG120" s="78"/>
      <c r="AH120" s="78"/>
      <c r="AJ120" s="78"/>
      <c r="AK120" s="78"/>
      <c r="AL120" s="79"/>
      <c r="AO120" s="31"/>
      <c r="AP120" s="31"/>
    </row>
    <row r="121" spans="1:42" x14ac:dyDescent="0.25">
      <c r="A121" s="146" t="s">
        <v>449</v>
      </c>
      <c r="B121" s="147"/>
      <c r="D121" s="114" t="s">
        <v>463</v>
      </c>
      <c r="E121" s="115"/>
      <c r="F121" s="60"/>
      <c r="H121" s="125"/>
      <c r="I121" s="126"/>
      <c r="J121" s="127"/>
      <c r="L121" s="128"/>
      <c r="M121" s="126"/>
      <c r="N121" s="127"/>
      <c r="P121" s="128"/>
      <c r="Q121" s="126"/>
      <c r="R121" s="127"/>
      <c r="T121" s="128"/>
      <c r="U121" s="126"/>
      <c r="V121" s="127"/>
      <c r="X121" s="128"/>
      <c r="Y121" s="126"/>
      <c r="Z121" s="127"/>
      <c r="AB121" s="128"/>
      <c r="AC121" s="126"/>
      <c r="AD121" s="127"/>
      <c r="AF121" s="128"/>
      <c r="AG121" s="126"/>
      <c r="AH121" s="127"/>
      <c r="AJ121" s="128"/>
      <c r="AK121" s="126"/>
      <c r="AL121" s="192"/>
      <c r="AO121" s="31"/>
      <c r="AP121" s="31"/>
    </row>
    <row r="122" spans="1:42" x14ac:dyDescent="0.25">
      <c r="A122" s="141" t="s">
        <v>289</v>
      </c>
      <c r="B122" s="134"/>
      <c r="D122" s="114" t="s">
        <v>288</v>
      </c>
      <c r="E122" s="115"/>
      <c r="F122" s="52" t="s">
        <v>290</v>
      </c>
      <c r="H122" s="81"/>
      <c r="I122" s="78"/>
      <c r="J122" s="78"/>
      <c r="L122" s="78"/>
      <c r="M122" s="78"/>
      <c r="N122" s="78"/>
      <c r="P122" s="78"/>
      <c r="Q122" s="78"/>
      <c r="R122" s="78"/>
      <c r="T122" s="78"/>
      <c r="U122" s="78"/>
      <c r="V122" s="78"/>
      <c r="X122" s="78"/>
      <c r="Y122" s="78"/>
      <c r="Z122" s="78"/>
      <c r="AB122" s="78"/>
      <c r="AC122" s="78"/>
      <c r="AD122" s="78"/>
      <c r="AF122" s="78"/>
      <c r="AG122" s="78"/>
      <c r="AH122" s="78"/>
      <c r="AJ122" s="78"/>
      <c r="AK122" s="78"/>
      <c r="AL122" s="79"/>
      <c r="AO122" s="31"/>
      <c r="AP122" s="31"/>
    </row>
    <row r="123" spans="1:42" ht="15" customHeight="1" x14ac:dyDescent="0.25">
      <c r="A123" s="142"/>
      <c r="B123" s="143"/>
      <c r="D123" s="87"/>
      <c r="E123" s="87"/>
      <c r="F123" s="19"/>
      <c r="H123" s="18"/>
      <c r="AL123" s="19"/>
      <c r="AO123" s="31"/>
      <c r="AP123" s="31"/>
    </row>
    <row r="124" spans="1:42" ht="15" customHeight="1" x14ac:dyDescent="0.25">
      <c r="A124" s="139" t="s">
        <v>169</v>
      </c>
      <c r="B124" s="140"/>
      <c r="D124" s="140" t="s">
        <v>218</v>
      </c>
      <c r="E124" s="140"/>
      <c r="F124" s="19"/>
      <c r="H124" s="18"/>
      <c r="AL124" s="19"/>
      <c r="AO124" s="31"/>
      <c r="AP124" s="31"/>
    </row>
    <row r="125" spans="1:42" ht="15" customHeight="1" x14ac:dyDescent="0.25">
      <c r="A125" s="135" t="s">
        <v>383</v>
      </c>
      <c r="B125" s="136"/>
      <c r="D125" s="82" t="s">
        <v>257</v>
      </c>
      <c r="E125" s="82"/>
      <c r="F125" s="14" t="s">
        <v>26</v>
      </c>
      <c r="H125" s="125"/>
      <c r="I125" s="126"/>
      <c r="J125" s="127"/>
      <c r="L125" s="78"/>
      <c r="M125" s="78"/>
      <c r="N125" s="78"/>
      <c r="P125" s="78"/>
      <c r="Q125" s="78"/>
      <c r="R125" s="78"/>
      <c r="T125" s="78"/>
      <c r="U125" s="78"/>
      <c r="V125" s="78"/>
      <c r="X125" s="78"/>
      <c r="Y125" s="78"/>
      <c r="Z125" s="78"/>
      <c r="AB125" s="78"/>
      <c r="AC125" s="78"/>
      <c r="AD125" s="78"/>
      <c r="AF125" s="78"/>
      <c r="AG125" s="78"/>
      <c r="AH125" s="78"/>
      <c r="AJ125" s="78"/>
      <c r="AK125" s="78"/>
      <c r="AL125" s="79"/>
      <c r="AO125" s="31"/>
      <c r="AP125" s="31"/>
    </row>
    <row r="126" spans="1:42" ht="15" customHeight="1" x14ac:dyDescent="0.25">
      <c r="A126" s="135" t="s">
        <v>170</v>
      </c>
      <c r="B126" s="136"/>
      <c r="D126" s="5" t="s">
        <v>258</v>
      </c>
      <c r="E126" s="5"/>
      <c r="F126" s="14" t="s">
        <v>26</v>
      </c>
      <c r="H126" s="125"/>
      <c r="I126" s="126"/>
      <c r="J126" s="127"/>
      <c r="L126" s="78"/>
      <c r="M126" s="78"/>
      <c r="N126" s="78"/>
      <c r="P126" s="78"/>
      <c r="Q126" s="78"/>
      <c r="R126" s="78"/>
      <c r="T126" s="78"/>
      <c r="U126" s="78"/>
      <c r="V126" s="78"/>
      <c r="X126" s="78"/>
      <c r="Y126" s="78"/>
      <c r="Z126" s="78"/>
      <c r="AB126" s="78"/>
      <c r="AC126" s="78"/>
      <c r="AD126" s="78"/>
      <c r="AF126" s="78"/>
      <c r="AG126" s="78"/>
      <c r="AH126" s="78"/>
      <c r="AJ126" s="78"/>
      <c r="AK126" s="78"/>
      <c r="AL126" s="79"/>
      <c r="AO126" s="31"/>
      <c r="AP126" s="31"/>
    </row>
    <row r="127" spans="1:42" ht="15" customHeight="1" x14ac:dyDescent="0.25">
      <c r="A127" s="135" t="s">
        <v>298</v>
      </c>
      <c r="B127" s="136"/>
      <c r="D127" s="5" t="s">
        <v>299</v>
      </c>
      <c r="E127" s="5"/>
      <c r="F127" s="14" t="s">
        <v>26</v>
      </c>
      <c r="H127" s="125"/>
      <c r="I127" s="126"/>
      <c r="J127" s="127"/>
      <c r="L127" s="78"/>
      <c r="M127" s="78"/>
      <c r="N127" s="78"/>
      <c r="P127" s="78"/>
      <c r="Q127" s="78"/>
      <c r="R127" s="78"/>
      <c r="T127" s="78"/>
      <c r="U127" s="78"/>
      <c r="V127" s="78"/>
      <c r="X127" s="78"/>
      <c r="Y127" s="78"/>
      <c r="Z127" s="78"/>
      <c r="AB127" s="78"/>
      <c r="AC127" s="78"/>
      <c r="AD127" s="78"/>
      <c r="AF127" s="78"/>
      <c r="AG127" s="78"/>
      <c r="AH127" s="78"/>
      <c r="AJ127" s="78"/>
      <c r="AK127" s="78"/>
      <c r="AL127" s="79"/>
      <c r="AO127" s="31"/>
      <c r="AP127" s="31"/>
    </row>
    <row r="128" spans="1:42" ht="15" customHeight="1" x14ac:dyDescent="0.25">
      <c r="A128" s="137" t="s">
        <v>392</v>
      </c>
      <c r="B128" s="138"/>
      <c r="D128" s="82" t="s">
        <v>391</v>
      </c>
      <c r="E128" s="82"/>
      <c r="F128" s="14" t="s">
        <v>26</v>
      </c>
      <c r="H128" s="81"/>
      <c r="I128" s="78"/>
      <c r="J128" s="78"/>
      <c r="L128" s="78"/>
      <c r="M128" s="78"/>
      <c r="N128" s="78"/>
      <c r="P128" s="78"/>
      <c r="Q128" s="78"/>
      <c r="R128" s="78"/>
      <c r="T128" s="78"/>
      <c r="U128" s="78"/>
      <c r="V128" s="78"/>
      <c r="X128" s="78"/>
      <c r="Y128" s="78"/>
      <c r="Z128" s="78"/>
      <c r="AB128" s="78"/>
      <c r="AC128" s="78"/>
      <c r="AD128" s="78"/>
      <c r="AF128" s="78"/>
      <c r="AG128" s="78"/>
      <c r="AH128" s="78"/>
      <c r="AJ128" s="78"/>
      <c r="AK128" s="78"/>
      <c r="AL128" s="79"/>
      <c r="AN128" s="31"/>
      <c r="AO128" s="31"/>
      <c r="AP128" s="31"/>
    </row>
    <row r="129" spans="1:42" ht="15" customHeight="1" x14ac:dyDescent="0.25">
      <c r="A129" s="137" t="s">
        <v>171</v>
      </c>
      <c r="B129" s="138"/>
      <c r="D129" s="82" t="s">
        <v>73</v>
      </c>
      <c r="E129" s="82"/>
      <c r="F129" s="14" t="s">
        <v>26</v>
      </c>
      <c r="H129" s="81"/>
      <c r="I129" s="78"/>
      <c r="J129" s="78"/>
      <c r="L129" s="78"/>
      <c r="M129" s="78"/>
      <c r="N129" s="78"/>
      <c r="P129" s="78"/>
      <c r="Q129" s="78"/>
      <c r="R129" s="78"/>
      <c r="T129" s="78"/>
      <c r="U129" s="78"/>
      <c r="V129" s="78"/>
      <c r="X129" s="78"/>
      <c r="Y129" s="78"/>
      <c r="Z129" s="78"/>
      <c r="AB129" s="78"/>
      <c r="AC129" s="78"/>
      <c r="AD129" s="78"/>
      <c r="AF129" s="78"/>
      <c r="AG129" s="78"/>
      <c r="AH129" s="78"/>
      <c r="AJ129" s="78"/>
      <c r="AK129" s="78"/>
      <c r="AL129" s="79"/>
      <c r="AN129" s="31"/>
      <c r="AO129" s="31"/>
      <c r="AP129" s="31"/>
    </row>
    <row r="130" spans="1:42" ht="15" customHeight="1" x14ac:dyDescent="0.25">
      <c r="A130" s="137" t="s">
        <v>259</v>
      </c>
      <c r="B130" s="138"/>
      <c r="D130" s="82" t="s">
        <v>74</v>
      </c>
      <c r="E130" s="82"/>
      <c r="F130" s="14" t="s">
        <v>26</v>
      </c>
      <c r="H130" s="81"/>
      <c r="I130" s="78"/>
      <c r="J130" s="78"/>
      <c r="L130" s="78"/>
      <c r="M130" s="78"/>
      <c r="N130" s="78"/>
      <c r="P130" s="78"/>
      <c r="Q130" s="78"/>
      <c r="R130" s="78"/>
      <c r="T130" s="78"/>
      <c r="U130" s="78"/>
      <c r="V130" s="78"/>
      <c r="X130" s="78"/>
      <c r="Y130" s="78"/>
      <c r="Z130" s="78"/>
      <c r="AB130" s="78"/>
      <c r="AC130" s="78"/>
      <c r="AD130" s="78"/>
      <c r="AF130" s="78"/>
      <c r="AG130" s="78"/>
      <c r="AH130" s="78"/>
      <c r="AJ130" s="78"/>
      <c r="AK130" s="78"/>
      <c r="AL130" s="79"/>
      <c r="AN130" s="31"/>
      <c r="AO130" s="31"/>
      <c r="AP130" s="31"/>
    </row>
    <row r="131" spans="1:42" ht="15" customHeight="1" x14ac:dyDescent="0.25">
      <c r="A131" s="137" t="s">
        <v>172</v>
      </c>
      <c r="B131" s="138"/>
      <c r="D131" s="82" t="s">
        <v>75</v>
      </c>
      <c r="E131" s="82"/>
      <c r="F131" s="14" t="s">
        <v>26</v>
      </c>
      <c r="H131" s="81"/>
      <c r="I131" s="78"/>
      <c r="J131" s="78"/>
      <c r="L131" s="78"/>
      <c r="M131" s="78"/>
      <c r="N131" s="78"/>
      <c r="P131" s="78"/>
      <c r="Q131" s="78"/>
      <c r="R131" s="78"/>
      <c r="T131" s="78"/>
      <c r="U131" s="78"/>
      <c r="V131" s="78"/>
      <c r="X131" s="78"/>
      <c r="Y131" s="78"/>
      <c r="Z131" s="78"/>
      <c r="AB131" s="78"/>
      <c r="AC131" s="78"/>
      <c r="AD131" s="78"/>
      <c r="AF131" s="78"/>
      <c r="AG131" s="78"/>
      <c r="AH131" s="78"/>
      <c r="AJ131" s="78"/>
      <c r="AK131" s="78"/>
      <c r="AL131" s="79"/>
      <c r="AN131" s="31"/>
      <c r="AO131" s="31"/>
      <c r="AP131" s="31"/>
    </row>
    <row r="132" spans="1:42" ht="15" customHeight="1" x14ac:dyDescent="0.25">
      <c r="A132" s="135" t="s">
        <v>173</v>
      </c>
      <c r="B132" s="136"/>
      <c r="D132" s="82" t="s">
        <v>76</v>
      </c>
      <c r="E132" s="82"/>
      <c r="F132" s="14" t="s">
        <v>290</v>
      </c>
      <c r="H132" s="81"/>
      <c r="I132" s="78"/>
      <c r="J132" s="78"/>
      <c r="L132" s="78"/>
      <c r="M132" s="78"/>
      <c r="N132" s="78"/>
      <c r="P132" s="78"/>
      <c r="Q132" s="78"/>
      <c r="R132" s="78"/>
      <c r="T132" s="78"/>
      <c r="U132" s="78"/>
      <c r="V132" s="78"/>
      <c r="X132" s="78"/>
      <c r="Y132" s="78"/>
      <c r="Z132" s="78"/>
      <c r="AB132" s="78"/>
      <c r="AC132" s="78"/>
      <c r="AD132" s="78"/>
      <c r="AF132" s="78"/>
      <c r="AG132" s="78"/>
      <c r="AH132" s="78"/>
      <c r="AJ132" s="78"/>
      <c r="AK132" s="78"/>
      <c r="AL132" s="79"/>
      <c r="AN132" s="31"/>
      <c r="AO132" s="31"/>
      <c r="AP132" s="31"/>
    </row>
    <row r="133" spans="1:42" ht="15" customHeight="1" x14ac:dyDescent="0.25">
      <c r="A133" s="135" t="s">
        <v>297</v>
      </c>
      <c r="B133" s="136"/>
      <c r="D133" s="82" t="s">
        <v>296</v>
      </c>
      <c r="E133" s="82"/>
      <c r="F133" s="14" t="s">
        <v>26</v>
      </c>
      <c r="H133" s="81"/>
      <c r="I133" s="78"/>
      <c r="J133" s="78"/>
      <c r="L133" s="78"/>
      <c r="M133" s="78"/>
      <c r="N133" s="78"/>
      <c r="P133" s="78"/>
      <c r="Q133" s="78"/>
      <c r="R133" s="78"/>
      <c r="T133" s="78"/>
      <c r="U133" s="78"/>
      <c r="V133" s="78"/>
      <c r="X133" s="78"/>
      <c r="Y133" s="78"/>
      <c r="Z133" s="78"/>
      <c r="AB133" s="78"/>
      <c r="AC133" s="78"/>
      <c r="AD133" s="78"/>
      <c r="AF133" s="78"/>
      <c r="AG133" s="78"/>
      <c r="AH133" s="78"/>
      <c r="AJ133" s="78"/>
      <c r="AK133" s="78"/>
      <c r="AL133" s="79"/>
      <c r="AN133" s="31"/>
      <c r="AO133" s="31"/>
      <c r="AP133" s="31"/>
    </row>
    <row r="134" spans="1:42" ht="15" customHeight="1" x14ac:dyDescent="0.25">
      <c r="A134" s="135" t="s">
        <v>300</v>
      </c>
      <c r="B134" s="136"/>
      <c r="D134" s="82" t="s">
        <v>301</v>
      </c>
      <c r="E134" s="82"/>
      <c r="F134" s="14" t="s">
        <v>26</v>
      </c>
      <c r="H134" s="81"/>
      <c r="I134" s="78"/>
      <c r="J134" s="78"/>
      <c r="L134" s="78"/>
      <c r="M134" s="78"/>
      <c r="N134" s="78"/>
      <c r="P134" s="78"/>
      <c r="Q134" s="78"/>
      <c r="R134" s="78"/>
      <c r="T134" s="78"/>
      <c r="U134" s="78"/>
      <c r="V134" s="78"/>
      <c r="X134" s="78"/>
      <c r="Y134" s="78"/>
      <c r="Z134" s="78"/>
      <c r="AB134" s="78"/>
      <c r="AC134" s="78"/>
      <c r="AD134" s="78"/>
      <c r="AF134" s="78"/>
      <c r="AG134" s="78"/>
      <c r="AH134" s="78"/>
      <c r="AJ134" s="78"/>
      <c r="AK134" s="78"/>
      <c r="AL134" s="79"/>
      <c r="AN134" s="31"/>
      <c r="AO134" s="31"/>
      <c r="AP134" s="31"/>
    </row>
    <row r="135" spans="1:42" ht="15" customHeight="1" x14ac:dyDescent="0.25">
      <c r="A135" s="135" t="s">
        <v>393</v>
      </c>
      <c r="B135" s="136"/>
      <c r="D135" s="82" t="s">
        <v>394</v>
      </c>
      <c r="E135" s="82"/>
      <c r="F135" s="14" t="s">
        <v>26</v>
      </c>
      <c r="H135" s="81"/>
      <c r="I135" s="78"/>
      <c r="J135" s="78"/>
      <c r="L135" s="78"/>
      <c r="M135" s="78"/>
      <c r="N135" s="78"/>
      <c r="P135" s="78"/>
      <c r="Q135" s="78"/>
      <c r="R135" s="78"/>
      <c r="T135" s="78"/>
      <c r="U135" s="78"/>
      <c r="V135" s="78"/>
      <c r="X135" s="78"/>
      <c r="Y135" s="78"/>
      <c r="Z135" s="78"/>
      <c r="AB135" s="78"/>
      <c r="AC135" s="78"/>
      <c r="AD135" s="78"/>
      <c r="AF135" s="78"/>
      <c r="AG135" s="78"/>
      <c r="AH135" s="78"/>
      <c r="AJ135" s="78"/>
      <c r="AK135" s="78"/>
      <c r="AL135" s="79"/>
      <c r="AN135" s="31"/>
      <c r="AO135" s="31"/>
      <c r="AP135" s="31"/>
    </row>
    <row r="136" spans="1:42" ht="15" customHeight="1" x14ac:dyDescent="0.25">
      <c r="A136" s="135" t="s">
        <v>291</v>
      </c>
      <c r="B136" s="136"/>
      <c r="D136" s="82" t="s">
        <v>292</v>
      </c>
      <c r="E136" s="82"/>
      <c r="F136" s="14" t="s">
        <v>26</v>
      </c>
      <c r="H136" s="81"/>
      <c r="I136" s="78"/>
      <c r="J136" s="78"/>
      <c r="L136" s="78"/>
      <c r="M136" s="78"/>
      <c r="N136" s="78"/>
      <c r="P136" s="78"/>
      <c r="Q136" s="78"/>
      <c r="R136" s="78"/>
      <c r="T136" s="78"/>
      <c r="U136" s="78"/>
      <c r="V136" s="78"/>
      <c r="X136" s="78"/>
      <c r="Y136" s="78"/>
      <c r="Z136" s="78"/>
      <c r="AB136" s="78"/>
      <c r="AC136" s="78"/>
      <c r="AD136" s="78"/>
      <c r="AF136" s="78"/>
      <c r="AG136" s="78"/>
      <c r="AH136" s="78"/>
      <c r="AJ136" s="78"/>
      <c r="AK136" s="78"/>
      <c r="AL136" s="79"/>
      <c r="AN136" s="31"/>
      <c r="AO136" s="31"/>
      <c r="AP136" s="31"/>
    </row>
    <row r="137" spans="1:42" ht="15" customHeight="1" x14ac:dyDescent="0.25">
      <c r="A137" s="135" t="s">
        <v>397</v>
      </c>
      <c r="B137" s="136"/>
      <c r="D137" s="82" t="s">
        <v>397</v>
      </c>
      <c r="E137" s="82"/>
      <c r="F137" s="14" t="s">
        <v>26</v>
      </c>
      <c r="H137" s="81"/>
      <c r="I137" s="78"/>
      <c r="J137" s="78"/>
      <c r="L137" s="78"/>
      <c r="M137" s="78"/>
      <c r="N137" s="78"/>
      <c r="P137" s="78"/>
      <c r="Q137" s="78"/>
      <c r="R137" s="78"/>
      <c r="T137" s="78"/>
      <c r="U137" s="78"/>
      <c r="V137" s="78"/>
      <c r="X137" s="78"/>
      <c r="Y137" s="78"/>
      <c r="Z137" s="78"/>
      <c r="AB137" s="78"/>
      <c r="AC137" s="78"/>
      <c r="AD137" s="78"/>
      <c r="AF137" s="78"/>
      <c r="AG137" s="78"/>
      <c r="AH137" s="78"/>
      <c r="AJ137" s="78"/>
      <c r="AK137" s="78"/>
      <c r="AL137" s="79"/>
      <c r="AN137" s="31"/>
      <c r="AO137" s="31"/>
      <c r="AP137" s="31"/>
    </row>
    <row r="138" spans="1:42" ht="15" customHeight="1" x14ac:dyDescent="0.25">
      <c r="A138" s="135" t="s">
        <v>380</v>
      </c>
      <c r="B138" s="136"/>
      <c r="D138" s="82" t="s">
        <v>295</v>
      </c>
      <c r="E138" s="82"/>
      <c r="F138" s="14" t="s">
        <v>26</v>
      </c>
      <c r="H138" s="81"/>
      <c r="I138" s="78"/>
      <c r="J138" s="78"/>
      <c r="L138" s="78"/>
      <c r="M138" s="78"/>
      <c r="N138" s="78"/>
      <c r="P138" s="78"/>
      <c r="Q138" s="78"/>
      <c r="R138" s="78"/>
      <c r="T138" s="78"/>
      <c r="U138" s="78"/>
      <c r="V138" s="78"/>
      <c r="X138" s="78"/>
      <c r="Y138" s="78"/>
      <c r="Z138" s="78"/>
      <c r="AB138" s="78"/>
      <c r="AC138" s="78"/>
      <c r="AD138" s="78"/>
      <c r="AF138" s="78"/>
      <c r="AG138" s="78"/>
      <c r="AH138" s="78"/>
      <c r="AJ138" s="78"/>
      <c r="AK138" s="78"/>
      <c r="AL138" s="79"/>
      <c r="AN138" s="31"/>
      <c r="AO138" s="31"/>
      <c r="AP138" s="31"/>
    </row>
    <row r="139" spans="1:42" ht="15" customHeight="1" x14ac:dyDescent="0.25">
      <c r="A139" s="135" t="s">
        <v>293</v>
      </c>
      <c r="B139" s="136"/>
      <c r="D139" s="82" t="s">
        <v>294</v>
      </c>
      <c r="E139" s="82"/>
      <c r="F139" s="14" t="s">
        <v>26</v>
      </c>
      <c r="H139" s="81"/>
      <c r="I139" s="78"/>
      <c r="J139" s="78"/>
      <c r="L139" s="78"/>
      <c r="M139" s="78"/>
      <c r="N139" s="78"/>
      <c r="P139" s="78"/>
      <c r="Q139" s="78"/>
      <c r="R139" s="78"/>
      <c r="T139" s="78"/>
      <c r="U139" s="78"/>
      <c r="V139" s="78"/>
      <c r="X139" s="78"/>
      <c r="Y139" s="78"/>
      <c r="Z139" s="78"/>
      <c r="AB139" s="78"/>
      <c r="AC139" s="78"/>
      <c r="AD139" s="78"/>
      <c r="AF139" s="78"/>
      <c r="AG139" s="78"/>
      <c r="AH139" s="78"/>
      <c r="AJ139" s="78"/>
      <c r="AK139" s="78"/>
      <c r="AL139" s="79"/>
      <c r="AN139" s="31"/>
      <c r="AO139" s="31"/>
      <c r="AP139" s="31"/>
    </row>
    <row r="140" spans="1:42" ht="15" customHeight="1" x14ac:dyDescent="0.25">
      <c r="A140" s="135" t="s">
        <v>312</v>
      </c>
      <c r="B140" s="136"/>
      <c r="D140" s="82" t="s">
        <v>261</v>
      </c>
      <c r="E140" s="82"/>
      <c r="F140" s="14" t="s">
        <v>290</v>
      </c>
      <c r="H140" s="125"/>
      <c r="I140" s="126"/>
      <c r="J140" s="127"/>
      <c r="L140" s="78"/>
      <c r="M140" s="78"/>
      <c r="N140" s="78"/>
      <c r="P140" s="78"/>
      <c r="Q140" s="78"/>
      <c r="R140" s="78"/>
      <c r="T140" s="78"/>
      <c r="U140" s="78"/>
      <c r="V140" s="78"/>
      <c r="X140" s="78"/>
      <c r="Y140" s="78"/>
      <c r="Z140" s="78"/>
      <c r="AB140" s="78"/>
      <c r="AC140" s="78"/>
      <c r="AD140" s="78"/>
      <c r="AF140" s="78"/>
      <c r="AG140" s="78"/>
      <c r="AH140" s="78"/>
      <c r="AJ140" s="78"/>
      <c r="AK140" s="78"/>
      <c r="AL140" s="79"/>
      <c r="AN140" s="31"/>
      <c r="AO140" s="31"/>
      <c r="AP140" s="31"/>
    </row>
    <row r="141" spans="1:42" ht="15" customHeight="1" x14ac:dyDescent="0.25">
      <c r="A141" s="135" t="s">
        <v>314</v>
      </c>
      <c r="B141" s="136"/>
      <c r="D141" s="82" t="s">
        <v>313</v>
      </c>
      <c r="E141" s="82"/>
      <c r="F141" s="14" t="s">
        <v>26</v>
      </c>
      <c r="H141" s="125"/>
      <c r="I141" s="126"/>
      <c r="J141" s="127"/>
      <c r="L141" s="78"/>
      <c r="M141" s="78"/>
      <c r="N141" s="78"/>
      <c r="P141" s="78"/>
      <c r="Q141" s="78"/>
      <c r="R141" s="78"/>
      <c r="T141" s="78"/>
      <c r="U141" s="78"/>
      <c r="V141" s="78"/>
      <c r="X141" s="78"/>
      <c r="Y141" s="78"/>
      <c r="Z141" s="78"/>
      <c r="AB141" s="78"/>
      <c r="AC141" s="78"/>
      <c r="AD141" s="78"/>
      <c r="AF141" s="78"/>
      <c r="AG141" s="78"/>
      <c r="AH141" s="78"/>
      <c r="AJ141" s="78"/>
      <c r="AK141" s="78"/>
      <c r="AL141" s="79"/>
      <c r="AN141" s="31"/>
      <c r="AO141" s="31"/>
      <c r="AP141" s="31"/>
    </row>
    <row r="142" spans="1:42" ht="15" customHeight="1" x14ac:dyDescent="0.25">
      <c r="A142" s="135" t="s">
        <v>395</v>
      </c>
      <c r="B142" s="136"/>
      <c r="D142" s="82" t="s">
        <v>396</v>
      </c>
      <c r="E142" s="82"/>
      <c r="F142" s="14" t="s">
        <v>26</v>
      </c>
      <c r="H142" s="125"/>
      <c r="I142" s="126"/>
      <c r="J142" s="127"/>
      <c r="L142" s="78"/>
      <c r="M142" s="78"/>
      <c r="N142" s="78"/>
      <c r="P142" s="78"/>
      <c r="Q142" s="78"/>
      <c r="R142" s="78"/>
      <c r="T142" s="78"/>
      <c r="U142" s="78"/>
      <c r="V142" s="78"/>
      <c r="X142" s="78"/>
      <c r="Y142" s="78"/>
      <c r="Z142" s="78"/>
      <c r="AB142" s="78"/>
      <c r="AC142" s="78"/>
      <c r="AD142" s="78"/>
      <c r="AF142" s="78"/>
      <c r="AG142" s="78"/>
      <c r="AH142" s="78"/>
      <c r="AJ142" s="78"/>
      <c r="AK142" s="78"/>
      <c r="AL142" s="79"/>
      <c r="AN142" s="31"/>
      <c r="AO142" s="31"/>
      <c r="AP142" s="31"/>
    </row>
    <row r="143" spans="1:42" ht="15" customHeight="1" x14ac:dyDescent="0.25">
      <c r="A143" s="135" t="s">
        <v>381</v>
      </c>
      <c r="B143" s="136"/>
      <c r="D143" s="82" t="s">
        <v>382</v>
      </c>
      <c r="E143" s="82"/>
      <c r="F143" s="14" t="s">
        <v>26</v>
      </c>
      <c r="H143" s="125"/>
      <c r="I143" s="126"/>
      <c r="J143" s="127"/>
      <c r="L143" s="78"/>
      <c r="M143" s="78"/>
      <c r="N143" s="78"/>
      <c r="P143" s="78"/>
      <c r="Q143" s="78"/>
      <c r="R143" s="78"/>
      <c r="T143" s="78"/>
      <c r="U143" s="78"/>
      <c r="V143" s="78"/>
      <c r="X143" s="78"/>
      <c r="Y143" s="78"/>
      <c r="Z143" s="78"/>
      <c r="AB143" s="78"/>
      <c r="AC143" s="78"/>
      <c r="AD143" s="78"/>
      <c r="AF143" s="78"/>
      <c r="AG143" s="78"/>
      <c r="AH143" s="78"/>
      <c r="AJ143" s="78"/>
      <c r="AK143" s="78"/>
      <c r="AL143" s="79"/>
      <c r="AN143" s="31"/>
      <c r="AO143" s="31"/>
      <c r="AP143" s="31"/>
    </row>
    <row r="144" spans="1:42" ht="15" customHeight="1" x14ac:dyDescent="0.25">
      <c r="A144" s="135" t="s">
        <v>389</v>
      </c>
      <c r="B144" s="136"/>
      <c r="D144" s="82" t="s">
        <v>390</v>
      </c>
      <c r="E144" s="82"/>
      <c r="F144" s="14" t="s">
        <v>290</v>
      </c>
      <c r="H144" s="125"/>
      <c r="I144" s="126"/>
      <c r="J144" s="127"/>
      <c r="L144" s="78"/>
      <c r="M144" s="78"/>
      <c r="N144" s="78"/>
      <c r="P144" s="78"/>
      <c r="Q144" s="78"/>
      <c r="R144" s="78"/>
      <c r="T144" s="78"/>
      <c r="U144" s="78"/>
      <c r="V144" s="78"/>
      <c r="X144" s="78"/>
      <c r="Y144" s="78"/>
      <c r="Z144" s="78"/>
      <c r="AB144" s="78"/>
      <c r="AC144" s="78"/>
      <c r="AD144" s="78"/>
      <c r="AF144" s="78"/>
      <c r="AG144" s="78"/>
      <c r="AH144" s="78"/>
      <c r="AJ144" s="78"/>
      <c r="AK144" s="78"/>
      <c r="AL144" s="79"/>
      <c r="AN144" s="31"/>
      <c r="AO144" s="31"/>
      <c r="AP144" s="31"/>
    </row>
    <row r="145" spans="1:42" ht="15" customHeight="1" x14ac:dyDescent="0.25">
      <c r="A145" s="135" t="s">
        <v>260</v>
      </c>
      <c r="B145" s="136"/>
      <c r="D145" s="82" t="s">
        <v>77</v>
      </c>
      <c r="E145" s="82"/>
      <c r="F145" s="14" t="s">
        <v>290</v>
      </c>
      <c r="H145" s="81"/>
      <c r="I145" s="78"/>
      <c r="J145" s="78"/>
      <c r="L145" s="78"/>
      <c r="M145" s="78"/>
      <c r="N145" s="78"/>
      <c r="P145" s="78"/>
      <c r="Q145" s="78"/>
      <c r="R145" s="78"/>
      <c r="T145" s="78"/>
      <c r="U145" s="78"/>
      <c r="V145" s="78"/>
      <c r="X145" s="78"/>
      <c r="Y145" s="78"/>
      <c r="Z145" s="78"/>
      <c r="AB145" s="78"/>
      <c r="AC145" s="78"/>
      <c r="AD145" s="78"/>
      <c r="AF145" s="78"/>
      <c r="AG145" s="78"/>
      <c r="AH145" s="78"/>
      <c r="AJ145" s="78"/>
      <c r="AK145" s="78"/>
      <c r="AL145" s="79"/>
      <c r="AN145" s="31"/>
      <c r="AO145" s="31"/>
      <c r="AP145" s="31"/>
    </row>
    <row r="146" spans="1:42" ht="15" customHeight="1" x14ac:dyDescent="0.25">
      <c r="A146" s="142"/>
      <c r="B146" s="143"/>
      <c r="F146" s="19"/>
      <c r="H146" s="18"/>
      <c r="I146" s="17"/>
      <c r="M146" s="17"/>
      <c r="Q146" s="17"/>
      <c r="U146" s="17"/>
      <c r="Y146" s="17"/>
      <c r="AC146" s="17"/>
      <c r="AG146" s="17"/>
      <c r="AK146" s="17"/>
      <c r="AL146" s="19"/>
      <c r="AN146" s="31"/>
      <c r="AO146" s="31"/>
      <c r="AP146" s="31"/>
    </row>
    <row r="147" spans="1:42" ht="15" customHeight="1" outlineLevel="1" x14ac:dyDescent="0.25">
      <c r="A147" s="139" t="s">
        <v>328</v>
      </c>
      <c r="B147" s="140"/>
      <c r="D147" s="140" t="s">
        <v>329</v>
      </c>
      <c r="E147" s="140"/>
      <c r="F147" s="19"/>
      <c r="H147" s="18"/>
      <c r="I147" s="17"/>
      <c r="M147" s="17"/>
      <c r="Q147" s="17"/>
      <c r="U147" s="17"/>
      <c r="Y147" s="17"/>
      <c r="AC147" s="17"/>
      <c r="AG147" s="17"/>
      <c r="AK147" s="17"/>
      <c r="AL147" s="19"/>
      <c r="AN147" s="31"/>
      <c r="AO147" s="31"/>
      <c r="AP147" s="31"/>
    </row>
    <row r="148" spans="1:42" s="54" customFormat="1" ht="15" customHeight="1" outlineLevel="1" x14ac:dyDescent="0.25">
      <c r="A148" s="63" t="s">
        <v>351</v>
      </c>
      <c r="B148" s="64"/>
      <c r="D148" s="75" t="s">
        <v>466</v>
      </c>
      <c r="E148" s="75"/>
      <c r="F148" s="55" t="s">
        <v>247</v>
      </c>
      <c r="G148" s="56"/>
      <c r="H148" s="65"/>
      <c r="I148" s="66"/>
      <c r="J148" s="67"/>
      <c r="K148" s="56"/>
      <c r="L148" s="73"/>
      <c r="M148" s="73"/>
      <c r="N148" s="73"/>
      <c r="O148" s="56"/>
      <c r="P148" s="73"/>
      <c r="Q148" s="73"/>
      <c r="R148" s="73"/>
      <c r="S148" s="56"/>
      <c r="T148" s="73"/>
      <c r="U148" s="73"/>
      <c r="V148" s="73"/>
      <c r="W148" s="56"/>
      <c r="X148" s="73"/>
      <c r="Y148" s="73"/>
      <c r="Z148" s="73"/>
      <c r="AA148" s="56"/>
      <c r="AB148" s="73"/>
      <c r="AC148" s="73"/>
      <c r="AD148" s="73"/>
      <c r="AE148" s="56"/>
      <c r="AF148" s="73"/>
      <c r="AG148" s="73"/>
      <c r="AH148" s="73"/>
      <c r="AI148" s="56"/>
      <c r="AJ148" s="73"/>
      <c r="AK148" s="73"/>
      <c r="AL148" s="74"/>
      <c r="AM148" s="56"/>
      <c r="AN148" s="57"/>
      <c r="AO148" s="57"/>
      <c r="AP148" s="57"/>
    </row>
    <row r="149" spans="1:42" s="54" customFormat="1" ht="15" customHeight="1" outlineLevel="1" x14ac:dyDescent="0.25">
      <c r="A149" s="63" t="s">
        <v>421</v>
      </c>
      <c r="B149" s="64"/>
      <c r="D149" s="75" t="s">
        <v>467</v>
      </c>
      <c r="E149" s="75"/>
      <c r="F149" s="55" t="s">
        <v>352</v>
      </c>
      <c r="G149" s="56"/>
      <c r="H149" s="65"/>
      <c r="I149" s="66"/>
      <c r="J149" s="67"/>
      <c r="K149" s="56"/>
      <c r="L149" s="73"/>
      <c r="M149" s="73"/>
      <c r="N149" s="73"/>
      <c r="O149" s="56"/>
      <c r="P149" s="73"/>
      <c r="Q149" s="73"/>
      <c r="R149" s="73"/>
      <c r="S149" s="56"/>
      <c r="T149" s="73"/>
      <c r="U149" s="73"/>
      <c r="V149" s="73"/>
      <c r="W149" s="56"/>
      <c r="X149" s="73"/>
      <c r="Y149" s="73"/>
      <c r="Z149" s="73"/>
      <c r="AA149" s="56"/>
      <c r="AB149" s="73"/>
      <c r="AC149" s="73"/>
      <c r="AD149" s="73"/>
      <c r="AE149" s="56"/>
      <c r="AF149" s="73"/>
      <c r="AG149" s="73"/>
      <c r="AH149" s="73"/>
      <c r="AI149" s="56"/>
      <c r="AJ149" s="73"/>
      <c r="AK149" s="73"/>
      <c r="AL149" s="74"/>
      <c r="AM149" s="56"/>
      <c r="AN149" s="57"/>
      <c r="AO149" s="57"/>
      <c r="AP149" s="57"/>
    </row>
    <row r="150" spans="1:42" s="54" customFormat="1" ht="15" customHeight="1" outlineLevel="1" x14ac:dyDescent="0.25">
      <c r="A150" s="63" t="s">
        <v>334</v>
      </c>
      <c r="B150" s="64"/>
      <c r="D150" s="75" t="s">
        <v>468</v>
      </c>
      <c r="E150" s="75"/>
      <c r="F150" s="55" t="s">
        <v>247</v>
      </c>
      <c r="G150" s="56"/>
      <c r="H150" s="65"/>
      <c r="I150" s="66"/>
      <c r="J150" s="67"/>
      <c r="K150" s="56"/>
      <c r="L150" s="73"/>
      <c r="M150" s="73"/>
      <c r="N150" s="73"/>
      <c r="O150" s="56"/>
      <c r="P150" s="73"/>
      <c r="Q150" s="73"/>
      <c r="R150" s="73"/>
      <c r="S150" s="56"/>
      <c r="T150" s="73"/>
      <c r="U150" s="73"/>
      <c r="V150" s="73"/>
      <c r="W150" s="56"/>
      <c r="X150" s="73"/>
      <c r="Y150" s="73"/>
      <c r="Z150" s="73"/>
      <c r="AA150" s="56"/>
      <c r="AB150" s="73"/>
      <c r="AC150" s="73"/>
      <c r="AD150" s="73"/>
      <c r="AE150" s="56"/>
      <c r="AF150" s="73"/>
      <c r="AG150" s="73"/>
      <c r="AH150" s="73"/>
      <c r="AI150" s="56"/>
      <c r="AJ150" s="73"/>
      <c r="AK150" s="73"/>
      <c r="AL150" s="74"/>
      <c r="AM150" s="56"/>
      <c r="AN150" s="57"/>
      <c r="AO150" s="57"/>
      <c r="AP150" s="57"/>
    </row>
    <row r="151" spans="1:42" s="54" customFormat="1" ht="15" customHeight="1" outlineLevel="1" x14ac:dyDescent="0.25">
      <c r="A151" s="63" t="s">
        <v>341</v>
      </c>
      <c r="B151" s="64"/>
      <c r="D151" s="75" t="s">
        <v>469</v>
      </c>
      <c r="E151" s="75"/>
      <c r="F151" s="55" t="s">
        <v>247</v>
      </c>
      <c r="G151" s="56"/>
      <c r="H151" s="65"/>
      <c r="I151" s="66"/>
      <c r="J151" s="67"/>
      <c r="K151" s="56"/>
      <c r="L151" s="73"/>
      <c r="M151" s="73"/>
      <c r="N151" s="73"/>
      <c r="O151" s="56"/>
      <c r="P151" s="73"/>
      <c r="Q151" s="73"/>
      <c r="R151" s="73"/>
      <c r="S151" s="56"/>
      <c r="T151" s="73"/>
      <c r="U151" s="73"/>
      <c r="V151" s="73"/>
      <c r="W151" s="56"/>
      <c r="X151" s="73"/>
      <c r="Y151" s="73"/>
      <c r="Z151" s="73"/>
      <c r="AA151" s="56"/>
      <c r="AB151" s="73"/>
      <c r="AC151" s="73"/>
      <c r="AD151" s="73"/>
      <c r="AE151" s="56"/>
      <c r="AF151" s="73"/>
      <c r="AG151" s="73"/>
      <c r="AH151" s="73"/>
      <c r="AI151" s="56"/>
      <c r="AJ151" s="73"/>
      <c r="AK151" s="73"/>
      <c r="AL151" s="74"/>
      <c r="AM151" s="56"/>
      <c r="AN151" s="57"/>
      <c r="AO151" s="57"/>
      <c r="AP151" s="57"/>
    </row>
    <row r="152" spans="1:42" s="54" customFormat="1" ht="15" customHeight="1" outlineLevel="1" x14ac:dyDescent="0.25">
      <c r="A152" s="63" t="s">
        <v>342</v>
      </c>
      <c r="B152" s="64"/>
      <c r="D152" s="75" t="s">
        <v>470</v>
      </c>
      <c r="E152" s="75"/>
      <c r="F152" s="55" t="s">
        <v>352</v>
      </c>
      <c r="G152" s="56"/>
      <c r="H152" s="65"/>
      <c r="I152" s="66"/>
      <c r="J152" s="67"/>
      <c r="K152" s="56"/>
      <c r="L152" s="73"/>
      <c r="M152" s="73"/>
      <c r="N152" s="73"/>
      <c r="O152" s="56"/>
      <c r="P152" s="73"/>
      <c r="Q152" s="73"/>
      <c r="R152" s="73"/>
      <c r="S152" s="56"/>
      <c r="T152" s="73"/>
      <c r="U152" s="73"/>
      <c r="V152" s="73"/>
      <c r="W152" s="56"/>
      <c r="X152" s="73"/>
      <c r="Y152" s="73"/>
      <c r="Z152" s="73"/>
      <c r="AA152" s="56"/>
      <c r="AB152" s="73"/>
      <c r="AC152" s="73"/>
      <c r="AD152" s="73"/>
      <c r="AE152" s="56"/>
      <c r="AF152" s="73"/>
      <c r="AG152" s="73"/>
      <c r="AH152" s="73"/>
      <c r="AI152" s="56"/>
      <c r="AJ152" s="73"/>
      <c r="AK152" s="73"/>
      <c r="AL152" s="74"/>
      <c r="AM152" s="56"/>
      <c r="AN152" s="57"/>
      <c r="AO152" s="57"/>
      <c r="AP152" s="57"/>
    </row>
    <row r="153" spans="1:42" s="54" customFormat="1" ht="15" customHeight="1" outlineLevel="1" x14ac:dyDescent="0.25">
      <c r="A153" s="63" t="s">
        <v>330</v>
      </c>
      <c r="B153" s="64"/>
      <c r="D153" s="75" t="s">
        <v>471</v>
      </c>
      <c r="E153" s="75"/>
      <c r="F153" s="55" t="s">
        <v>247</v>
      </c>
      <c r="G153" s="56"/>
      <c r="H153" s="65"/>
      <c r="I153" s="66"/>
      <c r="J153" s="67"/>
      <c r="K153" s="56"/>
      <c r="L153" s="73"/>
      <c r="M153" s="73"/>
      <c r="N153" s="73"/>
      <c r="O153" s="56"/>
      <c r="P153" s="73"/>
      <c r="Q153" s="73"/>
      <c r="R153" s="73"/>
      <c r="S153" s="56"/>
      <c r="T153" s="73"/>
      <c r="U153" s="73"/>
      <c r="V153" s="73"/>
      <c r="W153" s="56"/>
      <c r="X153" s="73"/>
      <c r="Y153" s="73"/>
      <c r="Z153" s="73"/>
      <c r="AA153" s="56"/>
      <c r="AB153" s="73"/>
      <c r="AC153" s="73"/>
      <c r="AD153" s="73"/>
      <c r="AE153" s="56"/>
      <c r="AF153" s="73"/>
      <c r="AG153" s="73"/>
      <c r="AH153" s="73"/>
      <c r="AI153" s="56"/>
      <c r="AJ153" s="73"/>
      <c r="AK153" s="73"/>
      <c r="AL153" s="74"/>
      <c r="AM153" s="56"/>
      <c r="AN153" s="57"/>
      <c r="AO153" s="57"/>
      <c r="AP153" s="57"/>
    </row>
    <row r="154" spans="1:42" s="54" customFormat="1" ht="15" customHeight="1" outlineLevel="1" x14ac:dyDescent="0.25">
      <c r="A154" s="63" t="s">
        <v>333</v>
      </c>
      <c r="B154" s="64"/>
      <c r="D154" s="75" t="s">
        <v>472</v>
      </c>
      <c r="E154" s="75"/>
      <c r="F154" s="55" t="s">
        <v>247</v>
      </c>
      <c r="G154" s="56"/>
      <c r="H154" s="65"/>
      <c r="I154" s="66"/>
      <c r="J154" s="67"/>
      <c r="K154" s="56"/>
      <c r="L154" s="73"/>
      <c r="M154" s="73"/>
      <c r="N154" s="73"/>
      <c r="O154" s="56"/>
      <c r="P154" s="73"/>
      <c r="Q154" s="73"/>
      <c r="R154" s="73"/>
      <c r="S154" s="56"/>
      <c r="T154" s="73"/>
      <c r="U154" s="73"/>
      <c r="V154" s="73"/>
      <c r="W154" s="56"/>
      <c r="X154" s="73"/>
      <c r="Y154" s="73"/>
      <c r="Z154" s="73"/>
      <c r="AA154" s="56"/>
      <c r="AB154" s="73"/>
      <c r="AC154" s="73"/>
      <c r="AD154" s="73"/>
      <c r="AE154" s="56"/>
      <c r="AF154" s="73"/>
      <c r="AG154" s="73"/>
      <c r="AH154" s="73"/>
      <c r="AI154" s="56"/>
      <c r="AJ154" s="73"/>
      <c r="AK154" s="73"/>
      <c r="AL154" s="74"/>
      <c r="AM154" s="56"/>
      <c r="AN154" s="57"/>
      <c r="AO154" s="57"/>
      <c r="AP154" s="57"/>
    </row>
    <row r="155" spans="1:42" s="54" customFormat="1" ht="15" customHeight="1" outlineLevel="1" x14ac:dyDescent="0.25">
      <c r="A155" s="63" t="s">
        <v>343</v>
      </c>
      <c r="B155" s="64"/>
      <c r="D155" s="75" t="s">
        <v>473</v>
      </c>
      <c r="E155" s="75"/>
      <c r="F155" s="55" t="s">
        <v>247</v>
      </c>
      <c r="G155" s="56"/>
      <c r="H155" s="65"/>
      <c r="I155" s="66"/>
      <c r="J155" s="67"/>
      <c r="K155" s="56"/>
      <c r="L155" s="73"/>
      <c r="M155" s="73"/>
      <c r="N155" s="73"/>
      <c r="O155" s="56"/>
      <c r="P155" s="73"/>
      <c r="Q155" s="73"/>
      <c r="R155" s="73"/>
      <c r="S155" s="56"/>
      <c r="T155" s="73"/>
      <c r="U155" s="73"/>
      <c r="V155" s="73"/>
      <c r="W155" s="56"/>
      <c r="X155" s="73"/>
      <c r="Y155" s="73"/>
      <c r="Z155" s="73"/>
      <c r="AA155" s="56"/>
      <c r="AB155" s="73"/>
      <c r="AC155" s="73"/>
      <c r="AD155" s="73"/>
      <c r="AE155" s="56"/>
      <c r="AF155" s="73"/>
      <c r="AG155" s="73"/>
      <c r="AH155" s="73"/>
      <c r="AI155" s="56"/>
      <c r="AJ155" s="73"/>
      <c r="AK155" s="73"/>
      <c r="AL155" s="74"/>
      <c r="AM155" s="56"/>
      <c r="AN155" s="57"/>
      <c r="AO155" s="57"/>
      <c r="AP155" s="57"/>
    </row>
    <row r="156" spans="1:42" s="54" customFormat="1" ht="15" customHeight="1" outlineLevel="1" x14ac:dyDescent="0.25">
      <c r="A156" s="63" t="s">
        <v>344</v>
      </c>
      <c r="B156" s="64"/>
      <c r="D156" s="75" t="s">
        <v>474</v>
      </c>
      <c r="E156" s="75"/>
      <c r="F156" s="55" t="s">
        <v>247</v>
      </c>
      <c r="G156" s="56"/>
      <c r="H156" s="65"/>
      <c r="I156" s="66"/>
      <c r="J156" s="67"/>
      <c r="K156" s="56"/>
      <c r="L156" s="73"/>
      <c r="M156" s="73"/>
      <c r="N156" s="73"/>
      <c r="O156" s="56"/>
      <c r="P156" s="73"/>
      <c r="Q156" s="73"/>
      <c r="R156" s="73"/>
      <c r="S156" s="56"/>
      <c r="T156" s="73"/>
      <c r="U156" s="73"/>
      <c r="V156" s="73"/>
      <c r="W156" s="56"/>
      <c r="X156" s="73"/>
      <c r="Y156" s="73"/>
      <c r="Z156" s="73"/>
      <c r="AA156" s="56"/>
      <c r="AB156" s="73"/>
      <c r="AC156" s="73"/>
      <c r="AD156" s="73"/>
      <c r="AE156" s="56"/>
      <c r="AF156" s="73"/>
      <c r="AG156" s="73"/>
      <c r="AH156" s="73"/>
      <c r="AI156" s="56"/>
      <c r="AJ156" s="73"/>
      <c r="AK156" s="73"/>
      <c r="AL156" s="74"/>
      <c r="AM156" s="56"/>
      <c r="AN156" s="57"/>
      <c r="AO156" s="57"/>
      <c r="AP156" s="57"/>
    </row>
    <row r="157" spans="1:42" s="54" customFormat="1" ht="15" customHeight="1" outlineLevel="1" x14ac:dyDescent="0.25">
      <c r="A157" s="63" t="s">
        <v>355</v>
      </c>
      <c r="B157" s="64"/>
      <c r="D157" s="75" t="s">
        <v>475</v>
      </c>
      <c r="E157" s="75"/>
      <c r="F157" s="55" t="s">
        <v>247</v>
      </c>
      <c r="G157" s="56"/>
      <c r="H157" s="65"/>
      <c r="I157" s="66"/>
      <c r="J157" s="67"/>
      <c r="K157" s="56"/>
      <c r="L157" s="73"/>
      <c r="M157" s="73"/>
      <c r="N157" s="73"/>
      <c r="O157" s="56"/>
      <c r="P157" s="73"/>
      <c r="Q157" s="73"/>
      <c r="R157" s="73"/>
      <c r="S157" s="56"/>
      <c r="T157" s="73"/>
      <c r="U157" s="73"/>
      <c r="V157" s="73"/>
      <c r="W157" s="56"/>
      <c r="X157" s="73"/>
      <c r="Y157" s="73"/>
      <c r="Z157" s="73"/>
      <c r="AA157" s="56"/>
      <c r="AB157" s="73"/>
      <c r="AC157" s="73"/>
      <c r="AD157" s="73"/>
      <c r="AE157" s="56"/>
      <c r="AF157" s="73"/>
      <c r="AG157" s="73"/>
      <c r="AH157" s="73"/>
      <c r="AI157" s="56"/>
      <c r="AJ157" s="73"/>
      <c r="AK157" s="73"/>
      <c r="AL157" s="74"/>
      <c r="AM157" s="56"/>
      <c r="AN157" s="57"/>
      <c r="AO157" s="57"/>
      <c r="AP157" s="57"/>
    </row>
    <row r="158" spans="1:42" s="54" customFormat="1" ht="15" customHeight="1" outlineLevel="1" x14ac:dyDescent="0.25">
      <c r="A158" s="63" t="s">
        <v>356</v>
      </c>
      <c r="B158" s="64"/>
      <c r="D158" s="75" t="s">
        <v>476</v>
      </c>
      <c r="E158" s="75"/>
      <c r="F158" s="55" t="s">
        <v>247</v>
      </c>
      <c r="G158" s="56"/>
      <c r="H158" s="65"/>
      <c r="I158" s="66"/>
      <c r="J158" s="67"/>
      <c r="K158" s="56"/>
      <c r="L158" s="73"/>
      <c r="M158" s="73"/>
      <c r="N158" s="73"/>
      <c r="O158" s="56"/>
      <c r="P158" s="73"/>
      <c r="Q158" s="73"/>
      <c r="R158" s="73"/>
      <c r="S158" s="56"/>
      <c r="T158" s="73"/>
      <c r="U158" s="73"/>
      <c r="V158" s="73"/>
      <c r="W158" s="56"/>
      <c r="X158" s="73"/>
      <c r="Y158" s="73"/>
      <c r="Z158" s="73"/>
      <c r="AA158" s="56"/>
      <c r="AB158" s="73"/>
      <c r="AC158" s="73"/>
      <c r="AD158" s="73"/>
      <c r="AE158" s="56"/>
      <c r="AF158" s="73"/>
      <c r="AG158" s="73"/>
      <c r="AH158" s="73"/>
      <c r="AI158" s="56"/>
      <c r="AJ158" s="73"/>
      <c r="AK158" s="73"/>
      <c r="AL158" s="74"/>
      <c r="AM158" s="56"/>
      <c r="AN158" s="57"/>
      <c r="AO158" s="57"/>
      <c r="AP158" s="57"/>
    </row>
    <row r="159" spans="1:42" s="54" customFormat="1" ht="15" customHeight="1" outlineLevel="1" x14ac:dyDescent="0.25">
      <c r="A159" s="63" t="s">
        <v>359</v>
      </c>
      <c r="B159" s="64"/>
      <c r="D159" s="64" t="s">
        <v>319</v>
      </c>
      <c r="E159" s="64"/>
      <c r="F159" s="55" t="s">
        <v>247</v>
      </c>
      <c r="G159" s="56"/>
      <c r="H159" s="65"/>
      <c r="I159" s="66"/>
      <c r="J159" s="67"/>
      <c r="K159" s="56"/>
      <c r="L159" s="73"/>
      <c r="M159" s="73"/>
      <c r="N159" s="73"/>
      <c r="O159" s="56"/>
      <c r="P159" s="73"/>
      <c r="Q159" s="73"/>
      <c r="R159" s="73"/>
      <c r="S159" s="56"/>
      <c r="T159" s="73"/>
      <c r="U159" s="73"/>
      <c r="V159" s="73"/>
      <c r="W159" s="56"/>
      <c r="X159" s="73"/>
      <c r="Y159" s="73"/>
      <c r="Z159" s="73"/>
      <c r="AA159" s="56"/>
      <c r="AB159" s="73"/>
      <c r="AC159" s="73"/>
      <c r="AD159" s="73"/>
      <c r="AE159" s="56"/>
      <c r="AF159" s="73"/>
      <c r="AG159" s="73"/>
      <c r="AH159" s="73"/>
      <c r="AI159" s="56"/>
      <c r="AJ159" s="73"/>
      <c r="AK159" s="73"/>
      <c r="AL159" s="74"/>
      <c r="AM159" s="56"/>
      <c r="AN159" s="57"/>
      <c r="AO159" s="57"/>
      <c r="AP159" s="57"/>
    </row>
    <row r="160" spans="1:42" s="54" customFormat="1" ht="15" customHeight="1" outlineLevel="1" x14ac:dyDescent="0.25">
      <c r="A160" s="63" t="s">
        <v>361</v>
      </c>
      <c r="B160" s="64"/>
      <c r="D160" s="64" t="s">
        <v>366</v>
      </c>
      <c r="E160" s="64"/>
      <c r="F160" s="55" t="s">
        <v>247</v>
      </c>
      <c r="G160" s="56"/>
      <c r="H160" s="65"/>
      <c r="I160" s="66"/>
      <c r="J160" s="67"/>
      <c r="K160" s="56"/>
      <c r="L160" s="73"/>
      <c r="M160" s="73"/>
      <c r="N160" s="73"/>
      <c r="O160" s="56"/>
      <c r="P160" s="73"/>
      <c r="Q160" s="73"/>
      <c r="R160" s="73"/>
      <c r="S160" s="56"/>
      <c r="T160" s="73"/>
      <c r="U160" s="73"/>
      <c r="V160" s="73"/>
      <c r="W160" s="56"/>
      <c r="X160" s="73"/>
      <c r="Y160" s="73"/>
      <c r="Z160" s="73"/>
      <c r="AA160" s="56"/>
      <c r="AB160" s="73"/>
      <c r="AC160" s="73"/>
      <c r="AD160" s="73"/>
      <c r="AE160" s="56"/>
      <c r="AF160" s="73"/>
      <c r="AG160" s="73"/>
      <c r="AH160" s="73"/>
      <c r="AI160" s="56"/>
      <c r="AJ160" s="73"/>
      <c r="AK160" s="73"/>
      <c r="AL160" s="74"/>
      <c r="AM160" s="56"/>
      <c r="AN160" s="57"/>
      <c r="AO160" s="57"/>
      <c r="AP160" s="57"/>
    </row>
    <row r="161" spans="1:42" s="54" customFormat="1" ht="15" customHeight="1" outlineLevel="1" x14ac:dyDescent="0.25">
      <c r="A161" s="63" t="s">
        <v>364</v>
      </c>
      <c r="B161" s="64"/>
      <c r="D161" s="64" t="s">
        <v>365</v>
      </c>
      <c r="E161" s="64"/>
      <c r="F161" s="55" t="s">
        <v>247</v>
      </c>
      <c r="G161" s="56"/>
      <c r="H161" s="65"/>
      <c r="I161" s="66"/>
      <c r="J161" s="67"/>
      <c r="K161" s="56"/>
      <c r="L161" s="73"/>
      <c r="M161" s="73"/>
      <c r="N161" s="73"/>
      <c r="O161" s="56"/>
      <c r="P161" s="73"/>
      <c r="Q161" s="73"/>
      <c r="R161" s="73"/>
      <c r="S161" s="56"/>
      <c r="T161" s="73"/>
      <c r="U161" s="73"/>
      <c r="V161" s="73"/>
      <c r="W161" s="56"/>
      <c r="X161" s="73"/>
      <c r="Y161" s="73"/>
      <c r="Z161" s="73"/>
      <c r="AA161" s="56"/>
      <c r="AB161" s="73"/>
      <c r="AC161" s="73"/>
      <c r="AD161" s="73"/>
      <c r="AE161" s="56"/>
      <c r="AF161" s="73"/>
      <c r="AG161" s="73"/>
      <c r="AH161" s="73"/>
      <c r="AI161" s="56"/>
      <c r="AJ161" s="73"/>
      <c r="AK161" s="73"/>
      <c r="AL161" s="74"/>
      <c r="AM161" s="56"/>
      <c r="AN161" s="57"/>
      <c r="AO161" s="57"/>
      <c r="AP161" s="57"/>
    </row>
    <row r="162" spans="1:42" s="54" customFormat="1" ht="15" customHeight="1" outlineLevel="1" x14ac:dyDescent="0.25">
      <c r="A162" s="69" t="s">
        <v>357</v>
      </c>
      <c r="B162" s="70"/>
      <c r="D162" s="76" t="s">
        <v>477</v>
      </c>
      <c r="E162" s="77"/>
      <c r="F162" s="55" t="s">
        <v>247</v>
      </c>
      <c r="G162" s="56"/>
      <c r="H162" s="65"/>
      <c r="I162" s="66"/>
      <c r="J162" s="67"/>
      <c r="K162" s="56"/>
      <c r="L162" s="72"/>
      <c r="M162" s="66"/>
      <c r="N162" s="67"/>
      <c r="O162" s="56"/>
      <c r="P162" s="72"/>
      <c r="Q162" s="66"/>
      <c r="R162" s="67"/>
      <c r="S162" s="56"/>
      <c r="T162" s="72"/>
      <c r="U162" s="66"/>
      <c r="V162" s="67"/>
      <c r="W162" s="56"/>
      <c r="X162" s="72"/>
      <c r="Y162" s="66"/>
      <c r="Z162" s="67"/>
      <c r="AA162" s="56"/>
      <c r="AB162" s="72"/>
      <c r="AC162" s="66"/>
      <c r="AD162" s="67"/>
      <c r="AE162" s="56"/>
      <c r="AF162" s="72"/>
      <c r="AG162" s="66"/>
      <c r="AH162" s="67"/>
      <c r="AI162" s="56"/>
      <c r="AJ162" s="72"/>
      <c r="AK162" s="66"/>
      <c r="AL162" s="68"/>
      <c r="AM162" s="56"/>
      <c r="AN162" s="57"/>
      <c r="AO162" s="57"/>
      <c r="AP162" s="57"/>
    </row>
    <row r="163" spans="1:42" s="54" customFormat="1" ht="15" customHeight="1" outlineLevel="1" x14ac:dyDescent="0.25">
      <c r="A163" s="63" t="s">
        <v>358</v>
      </c>
      <c r="B163" s="64"/>
      <c r="D163" s="75" t="s">
        <v>478</v>
      </c>
      <c r="E163" s="75"/>
      <c r="F163" s="55" t="s">
        <v>247</v>
      </c>
      <c r="G163" s="56"/>
      <c r="H163" s="65"/>
      <c r="I163" s="66"/>
      <c r="J163" s="67"/>
      <c r="K163" s="56"/>
      <c r="L163" s="73"/>
      <c r="M163" s="73"/>
      <c r="N163" s="73"/>
      <c r="O163" s="56"/>
      <c r="P163" s="73"/>
      <c r="Q163" s="73"/>
      <c r="R163" s="73"/>
      <c r="S163" s="56"/>
      <c r="T163" s="73"/>
      <c r="U163" s="73"/>
      <c r="V163" s="73"/>
      <c r="W163" s="56"/>
      <c r="X163" s="73"/>
      <c r="Y163" s="73"/>
      <c r="Z163" s="73"/>
      <c r="AA163" s="56"/>
      <c r="AB163" s="73"/>
      <c r="AC163" s="73"/>
      <c r="AD163" s="73"/>
      <c r="AE163" s="56"/>
      <c r="AF163" s="73"/>
      <c r="AG163" s="73"/>
      <c r="AH163" s="73"/>
      <c r="AI163" s="56"/>
      <c r="AJ163" s="73"/>
      <c r="AK163" s="73"/>
      <c r="AL163" s="74"/>
      <c r="AM163" s="56"/>
      <c r="AN163" s="57"/>
      <c r="AO163" s="57"/>
      <c r="AP163" s="57"/>
    </row>
    <row r="164" spans="1:42" s="54" customFormat="1" ht="15" customHeight="1" outlineLevel="1" x14ac:dyDescent="0.25">
      <c r="A164" s="63" t="s">
        <v>360</v>
      </c>
      <c r="B164" s="64"/>
      <c r="D164" s="75" t="s">
        <v>479</v>
      </c>
      <c r="E164" s="75"/>
      <c r="F164" s="55" t="s">
        <v>247</v>
      </c>
      <c r="G164" s="56"/>
      <c r="H164" s="65"/>
      <c r="I164" s="66"/>
      <c r="J164" s="67"/>
      <c r="K164" s="56"/>
      <c r="L164" s="73"/>
      <c r="M164" s="73"/>
      <c r="N164" s="73"/>
      <c r="O164" s="56"/>
      <c r="P164" s="73"/>
      <c r="Q164" s="73"/>
      <c r="R164" s="73"/>
      <c r="S164" s="56"/>
      <c r="T164" s="73"/>
      <c r="U164" s="73"/>
      <c r="V164" s="73"/>
      <c r="W164" s="56"/>
      <c r="X164" s="73"/>
      <c r="Y164" s="73"/>
      <c r="Z164" s="73"/>
      <c r="AA164" s="56"/>
      <c r="AB164" s="73"/>
      <c r="AC164" s="73"/>
      <c r="AD164" s="73"/>
      <c r="AE164" s="56"/>
      <c r="AF164" s="73"/>
      <c r="AG164" s="73"/>
      <c r="AH164" s="73"/>
      <c r="AI164" s="56"/>
      <c r="AJ164" s="73"/>
      <c r="AK164" s="73"/>
      <c r="AL164" s="74"/>
      <c r="AM164" s="56"/>
      <c r="AN164" s="57"/>
      <c r="AO164" s="57"/>
      <c r="AP164" s="57"/>
    </row>
    <row r="165" spans="1:42" s="54" customFormat="1" ht="15" customHeight="1" outlineLevel="1" x14ac:dyDescent="0.25">
      <c r="A165" s="63" t="s">
        <v>368</v>
      </c>
      <c r="B165" s="64"/>
      <c r="D165" s="63" t="s">
        <v>367</v>
      </c>
      <c r="E165" s="64"/>
      <c r="F165" s="55" t="s">
        <v>247</v>
      </c>
      <c r="G165" s="56"/>
      <c r="H165" s="65"/>
      <c r="I165" s="66"/>
      <c r="J165" s="67"/>
      <c r="K165" s="56"/>
      <c r="L165" s="73"/>
      <c r="M165" s="73"/>
      <c r="N165" s="73"/>
      <c r="O165" s="56"/>
      <c r="P165" s="73"/>
      <c r="Q165" s="73"/>
      <c r="R165" s="73"/>
      <c r="S165" s="56"/>
      <c r="T165" s="73"/>
      <c r="U165" s="73"/>
      <c r="V165" s="73"/>
      <c r="W165" s="56"/>
      <c r="X165" s="73"/>
      <c r="Y165" s="73"/>
      <c r="Z165" s="73"/>
      <c r="AA165" s="56"/>
      <c r="AB165" s="73"/>
      <c r="AC165" s="73"/>
      <c r="AD165" s="73"/>
      <c r="AE165" s="56"/>
      <c r="AF165" s="73"/>
      <c r="AG165" s="73"/>
      <c r="AH165" s="73"/>
      <c r="AI165" s="56"/>
      <c r="AJ165" s="73"/>
      <c r="AK165" s="73"/>
      <c r="AL165" s="74"/>
      <c r="AM165" s="56"/>
      <c r="AN165" s="57"/>
      <c r="AO165" s="57"/>
      <c r="AP165" s="57"/>
    </row>
    <row r="166" spans="1:42" s="54" customFormat="1" ht="15" customHeight="1" outlineLevel="1" x14ac:dyDescent="0.25">
      <c r="A166" s="63" t="s">
        <v>422</v>
      </c>
      <c r="B166" s="64"/>
      <c r="D166" s="63" t="s">
        <v>423</v>
      </c>
      <c r="E166" s="64"/>
      <c r="F166" s="55" t="s">
        <v>247</v>
      </c>
      <c r="G166" s="56"/>
      <c r="H166" s="65"/>
      <c r="I166" s="66"/>
      <c r="J166" s="67"/>
      <c r="K166" s="56"/>
      <c r="L166" s="73"/>
      <c r="M166" s="73"/>
      <c r="N166" s="73"/>
      <c r="O166" s="56"/>
      <c r="P166" s="73"/>
      <c r="Q166" s="73"/>
      <c r="R166" s="73"/>
      <c r="S166" s="56"/>
      <c r="T166" s="73"/>
      <c r="U166" s="73"/>
      <c r="V166" s="73"/>
      <c r="W166" s="56"/>
      <c r="X166" s="73"/>
      <c r="Y166" s="73"/>
      <c r="Z166" s="73"/>
      <c r="AA166" s="56"/>
      <c r="AB166" s="73"/>
      <c r="AC166" s="73"/>
      <c r="AD166" s="73"/>
      <c r="AE166" s="56"/>
      <c r="AF166" s="73"/>
      <c r="AG166" s="73"/>
      <c r="AH166" s="73"/>
      <c r="AI166" s="56"/>
      <c r="AJ166" s="73"/>
      <c r="AK166" s="73"/>
      <c r="AL166" s="74"/>
      <c r="AM166" s="56"/>
      <c r="AN166" s="57"/>
      <c r="AO166" s="57"/>
      <c r="AP166" s="57"/>
    </row>
    <row r="167" spans="1:42" s="54" customFormat="1" ht="15" customHeight="1" outlineLevel="1" x14ac:dyDescent="0.25">
      <c r="A167" s="63" t="s">
        <v>315</v>
      </c>
      <c r="B167" s="64"/>
      <c r="D167" s="64" t="s">
        <v>316</v>
      </c>
      <c r="E167" s="64"/>
      <c r="F167" s="55" t="s">
        <v>247</v>
      </c>
      <c r="G167" s="56"/>
      <c r="H167" s="65"/>
      <c r="I167" s="66"/>
      <c r="J167" s="67"/>
      <c r="K167" s="56"/>
      <c r="L167" s="73"/>
      <c r="M167" s="73"/>
      <c r="N167" s="73"/>
      <c r="O167" s="56"/>
      <c r="P167" s="73"/>
      <c r="Q167" s="73"/>
      <c r="R167" s="73"/>
      <c r="S167" s="56"/>
      <c r="T167" s="73"/>
      <c r="U167" s="73"/>
      <c r="V167" s="73"/>
      <c r="W167" s="56"/>
      <c r="X167" s="73"/>
      <c r="Y167" s="73"/>
      <c r="Z167" s="73"/>
      <c r="AA167" s="56"/>
      <c r="AB167" s="73"/>
      <c r="AC167" s="73"/>
      <c r="AD167" s="73"/>
      <c r="AE167" s="56"/>
      <c r="AF167" s="73"/>
      <c r="AG167" s="73"/>
      <c r="AH167" s="73"/>
      <c r="AI167" s="56"/>
      <c r="AJ167" s="73"/>
      <c r="AK167" s="73"/>
      <c r="AL167" s="74"/>
      <c r="AM167" s="56"/>
      <c r="AN167" s="57"/>
      <c r="AO167" s="57"/>
      <c r="AP167" s="57"/>
    </row>
    <row r="168" spans="1:42" s="54" customFormat="1" ht="15" customHeight="1" outlineLevel="1" x14ac:dyDescent="0.25">
      <c r="A168" s="63" t="s">
        <v>317</v>
      </c>
      <c r="B168" s="64"/>
      <c r="D168" s="64" t="s">
        <v>318</v>
      </c>
      <c r="E168" s="64"/>
      <c r="F168" s="55" t="s">
        <v>247</v>
      </c>
      <c r="G168" s="56"/>
      <c r="H168" s="65"/>
      <c r="I168" s="66"/>
      <c r="J168" s="67"/>
      <c r="K168" s="56"/>
      <c r="L168" s="73"/>
      <c r="M168" s="73"/>
      <c r="N168" s="73"/>
      <c r="O168" s="56"/>
      <c r="P168" s="73"/>
      <c r="Q168" s="73"/>
      <c r="R168" s="73"/>
      <c r="S168" s="56"/>
      <c r="T168" s="73"/>
      <c r="U168" s="73"/>
      <c r="V168" s="73"/>
      <c r="W168" s="56"/>
      <c r="X168" s="73"/>
      <c r="Y168" s="73"/>
      <c r="Z168" s="73"/>
      <c r="AA168" s="56"/>
      <c r="AB168" s="73"/>
      <c r="AC168" s="73"/>
      <c r="AD168" s="73"/>
      <c r="AE168" s="56"/>
      <c r="AF168" s="73"/>
      <c r="AG168" s="73"/>
      <c r="AH168" s="73"/>
      <c r="AI168" s="56"/>
      <c r="AJ168" s="73"/>
      <c r="AK168" s="73"/>
      <c r="AL168" s="74"/>
      <c r="AM168" s="56"/>
      <c r="AN168" s="57"/>
      <c r="AO168" s="57"/>
      <c r="AP168" s="57"/>
    </row>
    <row r="169" spans="1:42" s="54" customFormat="1" ht="15" customHeight="1" outlineLevel="1" x14ac:dyDescent="0.25">
      <c r="A169" s="63" t="s">
        <v>337</v>
      </c>
      <c r="B169" s="64"/>
      <c r="D169" s="75" t="s">
        <v>480</v>
      </c>
      <c r="E169" s="75"/>
      <c r="F169" s="55" t="s">
        <v>247</v>
      </c>
      <c r="G169" s="56"/>
      <c r="H169" s="65"/>
      <c r="I169" s="66"/>
      <c r="J169" s="67"/>
      <c r="K169" s="56"/>
      <c r="L169" s="73"/>
      <c r="M169" s="73"/>
      <c r="N169" s="73"/>
      <c r="O169" s="56"/>
      <c r="P169" s="73"/>
      <c r="Q169" s="73"/>
      <c r="R169" s="73"/>
      <c r="S169" s="56"/>
      <c r="T169" s="73"/>
      <c r="U169" s="73"/>
      <c r="V169" s="73"/>
      <c r="W169" s="56"/>
      <c r="X169" s="73"/>
      <c r="Y169" s="73"/>
      <c r="Z169" s="73"/>
      <c r="AA169" s="56"/>
      <c r="AB169" s="73"/>
      <c r="AC169" s="73"/>
      <c r="AD169" s="73"/>
      <c r="AE169" s="56"/>
      <c r="AF169" s="73"/>
      <c r="AG169" s="73"/>
      <c r="AH169" s="73"/>
      <c r="AI169" s="56"/>
      <c r="AJ169" s="73"/>
      <c r="AK169" s="73"/>
      <c r="AL169" s="74"/>
      <c r="AM169" s="56"/>
      <c r="AN169" s="57"/>
      <c r="AO169" s="57"/>
      <c r="AP169" s="57"/>
    </row>
    <row r="170" spans="1:42" s="54" customFormat="1" ht="15" customHeight="1" outlineLevel="1" x14ac:dyDescent="0.25">
      <c r="A170" s="63" t="s">
        <v>338</v>
      </c>
      <c r="B170" s="64"/>
      <c r="D170" s="75" t="s">
        <v>481</v>
      </c>
      <c r="E170" s="75"/>
      <c r="F170" s="55" t="s">
        <v>247</v>
      </c>
      <c r="G170" s="56"/>
      <c r="H170" s="65"/>
      <c r="I170" s="66"/>
      <c r="J170" s="67"/>
      <c r="K170" s="56"/>
      <c r="L170" s="73"/>
      <c r="M170" s="73"/>
      <c r="N170" s="73"/>
      <c r="O170" s="56"/>
      <c r="P170" s="73"/>
      <c r="Q170" s="73"/>
      <c r="R170" s="73"/>
      <c r="S170" s="56"/>
      <c r="T170" s="73"/>
      <c r="U170" s="73"/>
      <c r="V170" s="73"/>
      <c r="W170" s="56"/>
      <c r="X170" s="73"/>
      <c r="Y170" s="73"/>
      <c r="Z170" s="73"/>
      <c r="AA170" s="56"/>
      <c r="AB170" s="73"/>
      <c r="AC170" s="73"/>
      <c r="AD170" s="73"/>
      <c r="AE170" s="56"/>
      <c r="AF170" s="73"/>
      <c r="AG170" s="73"/>
      <c r="AH170" s="73"/>
      <c r="AI170" s="56"/>
      <c r="AJ170" s="73"/>
      <c r="AK170" s="73"/>
      <c r="AL170" s="74"/>
      <c r="AM170" s="56"/>
      <c r="AN170" s="57"/>
      <c r="AO170" s="57"/>
      <c r="AP170" s="57"/>
    </row>
    <row r="171" spans="1:42" s="54" customFormat="1" ht="15" customHeight="1" outlineLevel="1" x14ac:dyDescent="0.25">
      <c r="A171" s="63" t="s">
        <v>335</v>
      </c>
      <c r="B171" s="64"/>
      <c r="D171" s="75" t="s">
        <v>482</v>
      </c>
      <c r="E171" s="75"/>
      <c r="F171" s="55" t="s">
        <v>247</v>
      </c>
      <c r="G171" s="56"/>
      <c r="H171" s="65"/>
      <c r="I171" s="66"/>
      <c r="J171" s="67"/>
      <c r="K171" s="56"/>
      <c r="L171" s="73"/>
      <c r="M171" s="73"/>
      <c r="N171" s="73"/>
      <c r="O171" s="56"/>
      <c r="P171" s="73"/>
      <c r="Q171" s="73"/>
      <c r="R171" s="73"/>
      <c r="S171" s="56"/>
      <c r="T171" s="73"/>
      <c r="U171" s="73"/>
      <c r="V171" s="73"/>
      <c r="W171" s="56"/>
      <c r="X171" s="73"/>
      <c r="Y171" s="73"/>
      <c r="Z171" s="73"/>
      <c r="AA171" s="56"/>
      <c r="AB171" s="73"/>
      <c r="AC171" s="73"/>
      <c r="AD171" s="73"/>
      <c r="AE171" s="56"/>
      <c r="AF171" s="73"/>
      <c r="AG171" s="73"/>
      <c r="AH171" s="73"/>
      <c r="AI171" s="56"/>
      <c r="AJ171" s="73"/>
      <c r="AK171" s="73"/>
      <c r="AL171" s="74"/>
      <c r="AM171" s="56"/>
      <c r="AN171" s="57"/>
      <c r="AO171" s="57"/>
      <c r="AP171" s="57"/>
    </row>
    <row r="172" spans="1:42" s="54" customFormat="1" ht="15" customHeight="1" outlineLevel="1" x14ac:dyDescent="0.25">
      <c r="A172" s="63" t="s">
        <v>336</v>
      </c>
      <c r="B172" s="64"/>
      <c r="D172" s="75" t="s">
        <v>483</v>
      </c>
      <c r="E172" s="75"/>
      <c r="F172" s="55" t="s">
        <v>247</v>
      </c>
      <c r="G172" s="56"/>
      <c r="H172" s="65"/>
      <c r="I172" s="66"/>
      <c r="J172" s="67"/>
      <c r="K172" s="56"/>
      <c r="L172" s="73"/>
      <c r="M172" s="73"/>
      <c r="N172" s="73"/>
      <c r="O172" s="56"/>
      <c r="P172" s="73"/>
      <c r="Q172" s="73"/>
      <c r="R172" s="73"/>
      <c r="S172" s="56"/>
      <c r="T172" s="73"/>
      <c r="U172" s="73"/>
      <c r="V172" s="73"/>
      <c r="W172" s="56"/>
      <c r="X172" s="73"/>
      <c r="Y172" s="73"/>
      <c r="Z172" s="73"/>
      <c r="AA172" s="56"/>
      <c r="AB172" s="73"/>
      <c r="AC172" s="73"/>
      <c r="AD172" s="73"/>
      <c r="AE172" s="56"/>
      <c r="AF172" s="73"/>
      <c r="AG172" s="73"/>
      <c r="AH172" s="73"/>
      <c r="AI172" s="56"/>
      <c r="AJ172" s="73"/>
      <c r="AK172" s="73"/>
      <c r="AL172" s="74"/>
      <c r="AM172" s="56"/>
      <c r="AN172" s="57"/>
      <c r="AO172" s="57"/>
      <c r="AP172" s="57"/>
    </row>
    <row r="173" spans="1:42" s="54" customFormat="1" ht="15" customHeight="1" outlineLevel="1" x14ac:dyDescent="0.25">
      <c r="A173" s="63" t="s">
        <v>339</v>
      </c>
      <c r="B173" s="64"/>
      <c r="D173" s="75" t="s">
        <v>484</v>
      </c>
      <c r="E173" s="75"/>
      <c r="F173" s="55" t="s">
        <v>247</v>
      </c>
      <c r="G173" s="56"/>
      <c r="H173" s="65"/>
      <c r="I173" s="66"/>
      <c r="J173" s="67"/>
      <c r="K173" s="56"/>
      <c r="L173" s="73"/>
      <c r="M173" s="73"/>
      <c r="N173" s="73"/>
      <c r="O173" s="56"/>
      <c r="P173" s="73"/>
      <c r="Q173" s="73"/>
      <c r="R173" s="73"/>
      <c r="S173" s="56"/>
      <c r="T173" s="73"/>
      <c r="U173" s="73"/>
      <c r="V173" s="73"/>
      <c r="W173" s="56"/>
      <c r="X173" s="73"/>
      <c r="Y173" s="73"/>
      <c r="Z173" s="73"/>
      <c r="AA173" s="56"/>
      <c r="AB173" s="73"/>
      <c r="AC173" s="73"/>
      <c r="AD173" s="73"/>
      <c r="AE173" s="56"/>
      <c r="AF173" s="73"/>
      <c r="AG173" s="73"/>
      <c r="AH173" s="73"/>
      <c r="AI173" s="56"/>
      <c r="AJ173" s="73"/>
      <c r="AK173" s="73"/>
      <c r="AL173" s="74"/>
      <c r="AM173" s="56"/>
      <c r="AN173" s="57"/>
      <c r="AO173" s="57"/>
      <c r="AP173" s="57"/>
    </row>
    <row r="174" spans="1:42" s="54" customFormat="1" ht="15" customHeight="1" outlineLevel="1" x14ac:dyDescent="0.25">
      <c r="A174" s="63" t="s">
        <v>340</v>
      </c>
      <c r="B174" s="64"/>
      <c r="D174" s="75" t="s">
        <v>485</v>
      </c>
      <c r="E174" s="75"/>
      <c r="F174" s="55" t="s">
        <v>247</v>
      </c>
      <c r="G174" s="56"/>
      <c r="H174" s="65"/>
      <c r="I174" s="66"/>
      <c r="J174" s="67"/>
      <c r="K174" s="56"/>
      <c r="L174" s="73"/>
      <c r="M174" s="73"/>
      <c r="N174" s="73"/>
      <c r="O174" s="56"/>
      <c r="P174" s="73"/>
      <c r="Q174" s="73"/>
      <c r="R174" s="73"/>
      <c r="S174" s="56"/>
      <c r="T174" s="73"/>
      <c r="U174" s="73"/>
      <c r="V174" s="73"/>
      <c r="W174" s="56"/>
      <c r="X174" s="73"/>
      <c r="Y174" s="73"/>
      <c r="Z174" s="73"/>
      <c r="AA174" s="56"/>
      <c r="AB174" s="73"/>
      <c r="AC174" s="73"/>
      <c r="AD174" s="73"/>
      <c r="AE174" s="56"/>
      <c r="AF174" s="73"/>
      <c r="AG174" s="73"/>
      <c r="AH174" s="73"/>
      <c r="AI174" s="56"/>
      <c r="AJ174" s="73"/>
      <c r="AK174" s="73"/>
      <c r="AL174" s="74"/>
      <c r="AM174" s="56"/>
      <c r="AN174" s="57"/>
      <c r="AO174" s="57"/>
      <c r="AP174" s="57"/>
    </row>
    <row r="175" spans="1:42" s="54" customFormat="1" ht="15" customHeight="1" outlineLevel="1" x14ac:dyDescent="0.25">
      <c r="A175" s="63" t="s">
        <v>331</v>
      </c>
      <c r="B175" s="64"/>
      <c r="D175" s="75" t="s">
        <v>486</v>
      </c>
      <c r="E175" s="75"/>
      <c r="F175" s="55" t="s">
        <v>247</v>
      </c>
      <c r="G175" s="56"/>
      <c r="H175" s="65"/>
      <c r="I175" s="66"/>
      <c r="J175" s="67"/>
      <c r="K175" s="56"/>
      <c r="L175" s="73"/>
      <c r="M175" s="73"/>
      <c r="N175" s="73"/>
      <c r="O175" s="56"/>
      <c r="P175" s="73"/>
      <c r="Q175" s="73"/>
      <c r="R175" s="73"/>
      <c r="S175" s="56"/>
      <c r="T175" s="73"/>
      <c r="U175" s="73"/>
      <c r="V175" s="73"/>
      <c r="W175" s="56"/>
      <c r="X175" s="73"/>
      <c r="Y175" s="73"/>
      <c r="Z175" s="73"/>
      <c r="AA175" s="56"/>
      <c r="AB175" s="73"/>
      <c r="AC175" s="73"/>
      <c r="AD175" s="73"/>
      <c r="AE175" s="56"/>
      <c r="AF175" s="73"/>
      <c r="AG175" s="73"/>
      <c r="AH175" s="73"/>
      <c r="AI175" s="56"/>
      <c r="AJ175" s="73"/>
      <c r="AK175" s="73"/>
      <c r="AL175" s="74"/>
      <c r="AM175" s="56"/>
      <c r="AN175" s="57"/>
      <c r="AO175" s="57"/>
      <c r="AP175" s="57"/>
    </row>
    <row r="176" spans="1:42" s="54" customFormat="1" ht="15" customHeight="1" outlineLevel="1" x14ac:dyDescent="0.25">
      <c r="A176" s="63" t="s">
        <v>332</v>
      </c>
      <c r="B176" s="64"/>
      <c r="D176" s="75" t="s">
        <v>487</v>
      </c>
      <c r="E176" s="75"/>
      <c r="F176" s="55" t="s">
        <v>247</v>
      </c>
      <c r="G176" s="56"/>
      <c r="H176" s="65"/>
      <c r="I176" s="66"/>
      <c r="J176" s="67"/>
      <c r="K176" s="56"/>
      <c r="L176" s="73"/>
      <c r="M176" s="73"/>
      <c r="N176" s="73"/>
      <c r="O176" s="56"/>
      <c r="P176" s="73"/>
      <c r="Q176" s="73"/>
      <c r="R176" s="73"/>
      <c r="S176" s="56"/>
      <c r="T176" s="73"/>
      <c r="U176" s="73"/>
      <c r="V176" s="73"/>
      <c r="W176" s="56"/>
      <c r="X176" s="73"/>
      <c r="Y176" s="73"/>
      <c r="Z176" s="73"/>
      <c r="AA176" s="56"/>
      <c r="AB176" s="73"/>
      <c r="AC176" s="73"/>
      <c r="AD176" s="73"/>
      <c r="AE176" s="56"/>
      <c r="AF176" s="73"/>
      <c r="AG176" s="73"/>
      <c r="AH176" s="73"/>
      <c r="AI176" s="56"/>
      <c r="AJ176" s="73"/>
      <c r="AK176" s="73"/>
      <c r="AL176" s="74"/>
      <c r="AM176" s="56"/>
      <c r="AN176" s="57"/>
      <c r="AO176" s="57"/>
      <c r="AP176" s="57"/>
    </row>
    <row r="177" spans="1:42" s="54" customFormat="1" ht="15" customHeight="1" outlineLevel="1" x14ac:dyDescent="0.25">
      <c r="A177" s="69" t="s">
        <v>321</v>
      </c>
      <c r="B177" s="70"/>
      <c r="D177" s="71" t="s">
        <v>320</v>
      </c>
      <c r="E177" s="70"/>
      <c r="F177" s="55" t="s">
        <v>247</v>
      </c>
      <c r="G177" s="56"/>
      <c r="H177" s="65"/>
      <c r="I177" s="66"/>
      <c r="J177" s="67"/>
      <c r="K177" s="56"/>
      <c r="L177" s="72"/>
      <c r="M177" s="66"/>
      <c r="N177" s="67"/>
      <c r="O177" s="56"/>
      <c r="P177" s="72"/>
      <c r="Q177" s="66"/>
      <c r="R177" s="67"/>
      <c r="S177" s="56"/>
      <c r="T177" s="72"/>
      <c r="U177" s="66"/>
      <c r="V177" s="67"/>
      <c r="W177" s="56"/>
      <c r="X177" s="72"/>
      <c r="Y177" s="66"/>
      <c r="Z177" s="67"/>
      <c r="AA177" s="56"/>
      <c r="AB177" s="72"/>
      <c r="AC177" s="66"/>
      <c r="AD177" s="67"/>
      <c r="AE177" s="56"/>
      <c r="AF177" s="72"/>
      <c r="AG177" s="66"/>
      <c r="AH177" s="67"/>
      <c r="AI177" s="56"/>
      <c r="AJ177" s="72"/>
      <c r="AK177" s="66"/>
      <c r="AL177" s="68"/>
      <c r="AM177" s="56"/>
      <c r="AN177" s="57"/>
      <c r="AO177" s="57"/>
      <c r="AP177" s="57"/>
    </row>
    <row r="178" spans="1:42" s="54" customFormat="1" ht="15" customHeight="1" outlineLevel="1" x14ac:dyDescent="0.25">
      <c r="A178" s="63" t="s">
        <v>322</v>
      </c>
      <c r="B178" s="64"/>
      <c r="D178" s="64" t="s">
        <v>323</v>
      </c>
      <c r="E178" s="64"/>
      <c r="F178" s="55" t="s">
        <v>247</v>
      </c>
      <c r="G178" s="56"/>
      <c r="H178" s="65"/>
      <c r="I178" s="66"/>
      <c r="J178" s="67"/>
      <c r="K178" s="56"/>
      <c r="L178" s="73"/>
      <c r="M178" s="73"/>
      <c r="N178" s="73"/>
      <c r="O178" s="56"/>
      <c r="P178" s="73"/>
      <c r="Q178" s="73"/>
      <c r="R178" s="73"/>
      <c r="S178" s="56"/>
      <c r="T178" s="73"/>
      <c r="U178" s="73"/>
      <c r="V178" s="73"/>
      <c r="W178" s="56"/>
      <c r="X178" s="73"/>
      <c r="Y178" s="73"/>
      <c r="Z178" s="73"/>
      <c r="AA178" s="56"/>
      <c r="AB178" s="73"/>
      <c r="AC178" s="73"/>
      <c r="AD178" s="73"/>
      <c r="AE178" s="56"/>
      <c r="AF178" s="73"/>
      <c r="AG178" s="73"/>
      <c r="AH178" s="73"/>
      <c r="AI178" s="56"/>
      <c r="AJ178" s="73"/>
      <c r="AK178" s="73"/>
      <c r="AL178" s="74"/>
      <c r="AM178" s="56"/>
      <c r="AN178" s="57"/>
      <c r="AO178" s="57"/>
      <c r="AP178" s="57"/>
    </row>
    <row r="179" spans="1:42" s="54" customFormat="1" ht="15" customHeight="1" outlineLevel="1" x14ac:dyDescent="0.25">
      <c r="A179" s="63" t="s">
        <v>326</v>
      </c>
      <c r="B179" s="64"/>
      <c r="D179" s="64" t="s">
        <v>327</v>
      </c>
      <c r="E179" s="64"/>
      <c r="F179" s="55" t="s">
        <v>247</v>
      </c>
      <c r="G179" s="56"/>
      <c r="H179" s="65"/>
      <c r="I179" s="66"/>
      <c r="J179" s="67"/>
      <c r="K179" s="56"/>
      <c r="L179" s="73"/>
      <c r="M179" s="73"/>
      <c r="N179" s="73"/>
      <c r="O179" s="56"/>
      <c r="P179" s="73"/>
      <c r="Q179" s="73"/>
      <c r="R179" s="73"/>
      <c r="S179" s="56"/>
      <c r="T179" s="73"/>
      <c r="U179" s="73"/>
      <c r="V179" s="73"/>
      <c r="W179" s="56"/>
      <c r="X179" s="73"/>
      <c r="Y179" s="73"/>
      <c r="Z179" s="73"/>
      <c r="AA179" s="56"/>
      <c r="AB179" s="73"/>
      <c r="AC179" s="73"/>
      <c r="AD179" s="73"/>
      <c r="AE179" s="56"/>
      <c r="AF179" s="73"/>
      <c r="AG179" s="73"/>
      <c r="AH179" s="73"/>
      <c r="AI179" s="56"/>
      <c r="AJ179" s="73"/>
      <c r="AK179" s="73"/>
      <c r="AL179" s="74"/>
      <c r="AM179" s="56"/>
      <c r="AN179" s="57"/>
      <c r="AO179" s="57"/>
      <c r="AP179" s="57"/>
    </row>
    <row r="180" spans="1:42" s="54" customFormat="1" ht="15" customHeight="1" outlineLevel="1" x14ac:dyDescent="0.25">
      <c r="A180" s="63" t="s">
        <v>325</v>
      </c>
      <c r="B180" s="64"/>
      <c r="D180" s="64" t="s">
        <v>324</v>
      </c>
      <c r="E180" s="64"/>
      <c r="F180" s="55" t="s">
        <v>247</v>
      </c>
      <c r="G180" s="56"/>
      <c r="H180" s="65"/>
      <c r="I180" s="66"/>
      <c r="J180" s="67"/>
      <c r="K180" s="56"/>
      <c r="L180" s="73"/>
      <c r="M180" s="73"/>
      <c r="N180" s="73"/>
      <c r="O180" s="56"/>
      <c r="P180" s="73"/>
      <c r="Q180" s="73"/>
      <c r="R180" s="73"/>
      <c r="S180" s="56"/>
      <c r="T180" s="73"/>
      <c r="U180" s="73"/>
      <c r="V180" s="73"/>
      <c r="W180" s="56"/>
      <c r="X180" s="73"/>
      <c r="Y180" s="73"/>
      <c r="Z180" s="73"/>
      <c r="AA180" s="56"/>
      <c r="AB180" s="73"/>
      <c r="AC180" s="73"/>
      <c r="AD180" s="73"/>
      <c r="AE180" s="56"/>
      <c r="AF180" s="73"/>
      <c r="AG180" s="73"/>
      <c r="AH180" s="73"/>
      <c r="AI180" s="56"/>
      <c r="AJ180" s="73"/>
      <c r="AK180" s="73"/>
      <c r="AL180" s="74"/>
      <c r="AM180" s="56"/>
      <c r="AN180" s="57"/>
      <c r="AO180" s="57"/>
      <c r="AP180" s="57"/>
    </row>
    <row r="181" spans="1:42" s="54" customFormat="1" ht="15" customHeight="1" outlineLevel="1" x14ac:dyDescent="0.25">
      <c r="A181" s="63" t="s">
        <v>353</v>
      </c>
      <c r="B181" s="64"/>
      <c r="D181" s="64" t="s">
        <v>354</v>
      </c>
      <c r="E181" s="64"/>
      <c r="F181" s="55" t="s">
        <v>247</v>
      </c>
      <c r="G181" s="56"/>
      <c r="H181" s="65"/>
      <c r="I181" s="66"/>
      <c r="J181" s="67"/>
      <c r="K181" s="56"/>
      <c r="L181" s="73"/>
      <c r="M181" s="73"/>
      <c r="N181" s="73"/>
      <c r="O181" s="56"/>
      <c r="P181" s="73"/>
      <c r="Q181" s="73"/>
      <c r="R181" s="73"/>
      <c r="S181" s="56"/>
      <c r="T181" s="73"/>
      <c r="U181" s="73"/>
      <c r="V181" s="73"/>
      <c r="W181" s="56"/>
      <c r="X181" s="73"/>
      <c r="Y181" s="73"/>
      <c r="Z181" s="73"/>
      <c r="AA181" s="56"/>
      <c r="AB181" s="73"/>
      <c r="AC181" s="73"/>
      <c r="AD181" s="73"/>
      <c r="AE181" s="56"/>
      <c r="AF181" s="73"/>
      <c r="AG181" s="73"/>
      <c r="AH181" s="73"/>
      <c r="AI181" s="56"/>
      <c r="AJ181" s="73"/>
      <c r="AK181" s="73"/>
      <c r="AL181" s="74"/>
      <c r="AM181" s="56"/>
      <c r="AN181" s="57"/>
      <c r="AO181" s="57"/>
      <c r="AP181" s="57"/>
    </row>
    <row r="182" spans="1:42" s="54" customFormat="1" ht="15" customHeight="1" outlineLevel="1" x14ac:dyDescent="0.25">
      <c r="A182" s="63" t="s">
        <v>429</v>
      </c>
      <c r="B182" s="64"/>
      <c r="D182" s="64" t="s">
        <v>428</v>
      </c>
      <c r="E182" s="64"/>
      <c r="F182" s="55" t="s">
        <v>247</v>
      </c>
      <c r="G182" s="56"/>
      <c r="H182" s="65">
        <f>H53</f>
        <v>0</v>
      </c>
      <c r="I182" s="66"/>
      <c r="J182" s="67"/>
      <c r="K182" s="56"/>
      <c r="L182" s="65">
        <f>L53</f>
        <v>0</v>
      </c>
      <c r="M182" s="66"/>
      <c r="N182" s="67"/>
      <c r="O182" s="56"/>
      <c r="P182" s="65">
        <f>P53</f>
        <v>0</v>
      </c>
      <c r="Q182" s="66"/>
      <c r="R182" s="67"/>
      <c r="S182" s="56"/>
      <c r="T182" s="65">
        <f>T53</f>
        <v>0</v>
      </c>
      <c r="U182" s="66"/>
      <c r="V182" s="67"/>
      <c r="W182" s="56"/>
      <c r="X182" s="65">
        <f>X53</f>
        <v>0</v>
      </c>
      <c r="Y182" s="66"/>
      <c r="Z182" s="67"/>
      <c r="AA182" s="56"/>
      <c r="AB182" s="65">
        <f>AB53</f>
        <v>0</v>
      </c>
      <c r="AC182" s="66"/>
      <c r="AD182" s="67"/>
      <c r="AE182" s="56"/>
      <c r="AF182" s="65">
        <f>AF53</f>
        <v>0</v>
      </c>
      <c r="AG182" s="66"/>
      <c r="AH182" s="67"/>
      <c r="AI182" s="56"/>
      <c r="AJ182" s="65">
        <f>AJ53</f>
        <v>0</v>
      </c>
      <c r="AK182" s="66"/>
      <c r="AL182" s="68"/>
      <c r="AM182" s="56"/>
      <c r="AN182" s="57"/>
      <c r="AO182" s="57"/>
      <c r="AP182" s="57"/>
    </row>
    <row r="183" spans="1:42" s="54" customFormat="1" ht="15" customHeight="1" outlineLevel="1" x14ac:dyDescent="0.25">
      <c r="A183" s="63" t="s">
        <v>345</v>
      </c>
      <c r="B183" s="64"/>
      <c r="D183" s="75" t="s">
        <v>488</v>
      </c>
      <c r="E183" s="75"/>
      <c r="F183" s="55" t="s">
        <v>247</v>
      </c>
      <c r="G183" s="56"/>
      <c r="H183" s="65"/>
      <c r="I183" s="66"/>
      <c r="J183" s="67"/>
      <c r="K183" s="56"/>
      <c r="L183" s="73"/>
      <c r="M183" s="73"/>
      <c r="N183" s="73"/>
      <c r="O183" s="56"/>
      <c r="P183" s="73"/>
      <c r="Q183" s="73"/>
      <c r="R183" s="73"/>
      <c r="S183" s="56"/>
      <c r="T183" s="73"/>
      <c r="U183" s="73"/>
      <c r="V183" s="73"/>
      <c r="W183" s="56"/>
      <c r="X183" s="73"/>
      <c r="Y183" s="73"/>
      <c r="Z183" s="73"/>
      <c r="AA183" s="56"/>
      <c r="AB183" s="73"/>
      <c r="AC183" s="73"/>
      <c r="AD183" s="73"/>
      <c r="AE183" s="56"/>
      <c r="AF183" s="73"/>
      <c r="AG183" s="73"/>
      <c r="AH183" s="73"/>
      <c r="AI183" s="56"/>
      <c r="AJ183" s="73"/>
      <c r="AK183" s="73"/>
      <c r="AL183" s="74"/>
      <c r="AM183" s="56"/>
      <c r="AN183" s="57"/>
      <c r="AO183" s="57"/>
      <c r="AP183" s="57"/>
    </row>
    <row r="184" spans="1:42" x14ac:dyDescent="0.25">
      <c r="A184" s="36"/>
      <c r="H184" s="18"/>
      <c r="AL184" s="19"/>
    </row>
    <row r="185" spans="1:42" outlineLevel="1" x14ac:dyDescent="0.25">
      <c r="A185" s="139" t="s">
        <v>346</v>
      </c>
      <c r="B185" s="140"/>
      <c r="D185" s="140" t="s">
        <v>347</v>
      </c>
      <c r="E185" s="140"/>
      <c r="F185" s="19"/>
      <c r="H185" s="18"/>
      <c r="I185" s="17"/>
      <c r="M185" s="17"/>
      <c r="Q185" s="17"/>
      <c r="U185" s="17"/>
      <c r="Y185" s="17"/>
      <c r="AC185" s="17"/>
      <c r="AG185" s="17"/>
      <c r="AK185" s="17"/>
      <c r="AL185" s="19"/>
    </row>
    <row r="186" spans="1:42" outlineLevel="1" x14ac:dyDescent="0.25">
      <c r="A186" s="135" t="s">
        <v>408</v>
      </c>
      <c r="B186" s="136"/>
      <c r="D186" s="75" t="s">
        <v>408</v>
      </c>
      <c r="E186" s="75"/>
      <c r="F186" s="14" t="s">
        <v>247</v>
      </c>
      <c r="H186" s="125"/>
      <c r="I186" s="126"/>
      <c r="J186" s="127"/>
      <c r="L186" s="78"/>
      <c r="M186" s="78"/>
      <c r="N186" s="78"/>
      <c r="P186" s="78"/>
      <c r="Q186" s="78"/>
      <c r="R186" s="78"/>
      <c r="T186" s="78"/>
      <c r="U186" s="78"/>
      <c r="V186" s="78"/>
      <c r="X186" s="78"/>
      <c r="Y186" s="78"/>
      <c r="Z186" s="78"/>
      <c r="AB186" s="78"/>
      <c r="AC186" s="78"/>
      <c r="AD186" s="78"/>
      <c r="AF186" s="78"/>
      <c r="AG186" s="78"/>
      <c r="AH186" s="78"/>
      <c r="AJ186" s="78"/>
      <c r="AK186" s="78"/>
      <c r="AL186" s="79"/>
    </row>
    <row r="187" spans="1:42" outlineLevel="1" x14ac:dyDescent="0.25">
      <c r="A187" s="135" t="s">
        <v>410</v>
      </c>
      <c r="B187" s="136"/>
      <c r="D187" s="75" t="s">
        <v>489</v>
      </c>
      <c r="E187" s="75"/>
      <c r="F187" s="14" t="s">
        <v>247</v>
      </c>
      <c r="H187" s="125"/>
      <c r="I187" s="126"/>
      <c r="J187" s="127"/>
      <c r="L187" s="78"/>
      <c r="M187" s="78"/>
      <c r="N187" s="78"/>
      <c r="P187" s="78"/>
      <c r="Q187" s="78"/>
      <c r="R187" s="78"/>
      <c r="T187" s="78"/>
      <c r="U187" s="78"/>
      <c r="V187" s="78"/>
      <c r="X187" s="78"/>
      <c r="Y187" s="78"/>
      <c r="Z187" s="78"/>
      <c r="AB187" s="78"/>
      <c r="AC187" s="78"/>
      <c r="AD187" s="78"/>
      <c r="AF187" s="78"/>
      <c r="AG187" s="78"/>
      <c r="AH187" s="78"/>
      <c r="AJ187" s="78"/>
      <c r="AK187" s="78"/>
      <c r="AL187" s="79"/>
    </row>
    <row r="188" spans="1:42" ht="15" customHeight="1" outlineLevel="1" x14ac:dyDescent="0.25">
      <c r="A188" s="135" t="s">
        <v>409</v>
      </c>
      <c r="B188" s="136"/>
      <c r="D188" s="75" t="s">
        <v>490</v>
      </c>
      <c r="E188" s="75"/>
      <c r="F188" s="14" t="s">
        <v>247</v>
      </c>
      <c r="H188" s="125"/>
      <c r="I188" s="126"/>
      <c r="J188" s="127"/>
      <c r="L188" s="78"/>
      <c r="M188" s="78"/>
      <c r="N188" s="78"/>
      <c r="P188" s="78"/>
      <c r="Q188" s="78"/>
      <c r="R188" s="78"/>
      <c r="T188" s="78"/>
      <c r="U188" s="78"/>
      <c r="V188" s="78"/>
      <c r="X188" s="78"/>
      <c r="Y188" s="78"/>
      <c r="Z188" s="78"/>
      <c r="AB188" s="78"/>
      <c r="AC188" s="78"/>
      <c r="AD188" s="78"/>
      <c r="AF188" s="78"/>
      <c r="AG188" s="78"/>
      <c r="AH188" s="78"/>
      <c r="AJ188" s="78"/>
      <c r="AK188" s="78"/>
      <c r="AL188" s="79"/>
      <c r="AN188" s="31"/>
      <c r="AO188" s="31"/>
      <c r="AP188" s="31"/>
    </row>
    <row r="189" spans="1:42" ht="15" customHeight="1" outlineLevel="1" x14ac:dyDescent="0.25">
      <c r="A189" s="135" t="s">
        <v>411</v>
      </c>
      <c r="B189" s="136"/>
      <c r="D189" s="75" t="s">
        <v>491</v>
      </c>
      <c r="E189" s="75"/>
      <c r="F189" s="14" t="s">
        <v>247</v>
      </c>
      <c r="H189" s="125"/>
      <c r="I189" s="126"/>
      <c r="J189" s="127"/>
      <c r="L189" s="78"/>
      <c r="M189" s="78"/>
      <c r="N189" s="78"/>
      <c r="P189" s="78"/>
      <c r="Q189" s="78"/>
      <c r="R189" s="78"/>
      <c r="T189" s="78"/>
      <c r="U189" s="78"/>
      <c r="V189" s="78"/>
      <c r="X189" s="78"/>
      <c r="Y189" s="78"/>
      <c r="Z189" s="78"/>
      <c r="AB189" s="78"/>
      <c r="AC189" s="78"/>
      <c r="AD189" s="78"/>
      <c r="AF189" s="78"/>
      <c r="AG189" s="78"/>
      <c r="AH189" s="78"/>
      <c r="AJ189" s="78"/>
      <c r="AK189" s="78"/>
      <c r="AL189" s="79"/>
      <c r="AN189" s="31"/>
      <c r="AO189" s="31"/>
      <c r="AP189" s="31"/>
    </row>
    <row r="190" spans="1:42" ht="15" customHeight="1" outlineLevel="1" x14ac:dyDescent="0.25">
      <c r="A190" s="135" t="s">
        <v>412</v>
      </c>
      <c r="B190" s="136"/>
      <c r="D190" s="75" t="s">
        <v>492</v>
      </c>
      <c r="E190" s="75"/>
      <c r="F190" s="14" t="s">
        <v>247</v>
      </c>
      <c r="H190" s="125"/>
      <c r="I190" s="126"/>
      <c r="J190" s="127"/>
      <c r="L190" s="78"/>
      <c r="M190" s="78"/>
      <c r="N190" s="78"/>
      <c r="P190" s="78"/>
      <c r="Q190" s="78"/>
      <c r="R190" s="78"/>
      <c r="T190" s="78"/>
      <c r="U190" s="78"/>
      <c r="V190" s="78"/>
      <c r="X190" s="78"/>
      <c r="Y190" s="78"/>
      <c r="Z190" s="78"/>
      <c r="AB190" s="78"/>
      <c r="AC190" s="78"/>
      <c r="AD190" s="78"/>
      <c r="AF190" s="78"/>
      <c r="AG190" s="78"/>
      <c r="AH190" s="78"/>
      <c r="AJ190" s="78"/>
      <c r="AK190" s="78"/>
      <c r="AL190" s="79"/>
      <c r="AN190" s="31"/>
      <c r="AO190" s="31"/>
      <c r="AP190" s="31"/>
    </row>
    <row r="191" spans="1:42" ht="15" customHeight="1" outlineLevel="1" x14ac:dyDescent="0.25">
      <c r="A191" s="135" t="s">
        <v>350</v>
      </c>
      <c r="B191" s="136"/>
      <c r="D191" s="75" t="s">
        <v>493</v>
      </c>
      <c r="E191" s="75"/>
      <c r="F191" s="14" t="s">
        <v>247</v>
      </c>
      <c r="H191" s="125"/>
      <c r="I191" s="126"/>
      <c r="J191" s="127"/>
      <c r="L191" s="78"/>
      <c r="M191" s="78"/>
      <c r="N191" s="78"/>
      <c r="P191" s="78"/>
      <c r="Q191" s="78"/>
      <c r="R191" s="78"/>
      <c r="T191" s="78"/>
      <c r="U191" s="78"/>
      <c r="V191" s="78"/>
      <c r="X191" s="78"/>
      <c r="Y191" s="78"/>
      <c r="Z191" s="78"/>
      <c r="AB191" s="78"/>
      <c r="AC191" s="78"/>
      <c r="AD191" s="78"/>
      <c r="AF191" s="78"/>
      <c r="AG191" s="78"/>
      <c r="AH191" s="78"/>
      <c r="AJ191" s="78"/>
      <c r="AK191" s="78"/>
      <c r="AL191" s="79"/>
      <c r="AN191" s="31"/>
      <c r="AO191" s="31"/>
      <c r="AP191" s="31"/>
    </row>
    <row r="192" spans="1:42" ht="15" customHeight="1" outlineLevel="1" x14ac:dyDescent="0.25">
      <c r="A192" s="135" t="s">
        <v>413</v>
      </c>
      <c r="B192" s="136"/>
      <c r="D192" s="75" t="s">
        <v>494</v>
      </c>
      <c r="E192" s="75"/>
      <c r="F192" s="14" t="s">
        <v>247</v>
      </c>
      <c r="H192" s="125"/>
      <c r="I192" s="126"/>
      <c r="J192" s="127"/>
      <c r="L192" s="78"/>
      <c r="M192" s="78"/>
      <c r="N192" s="78"/>
      <c r="P192" s="78"/>
      <c r="Q192" s="78"/>
      <c r="R192" s="78"/>
      <c r="T192" s="78"/>
      <c r="U192" s="78"/>
      <c r="V192" s="78"/>
      <c r="X192" s="78"/>
      <c r="Y192" s="78"/>
      <c r="Z192" s="78"/>
      <c r="AB192" s="78"/>
      <c r="AC192" s="78"/>
      <c r="AD192" s="78"/>
      <c r="AF192" s="78"/>
      <c r="AG192" s="78"/>
      <c r="AH192" s="78"/>
      <c r="AJ192" s="78"/>
      <c r="AK192" s="78"/>
      <c r="AL192" s="79"/>
      <c r="AN192" s="31"/>
      <c r="AO192" s="31"/>
      <c r="AP192" s="31"/>
    </row>
    <row r="193" spans="1:42" ht="15" customHeight="1" outlineLevel="1" x14ac:dyDescent="0.25">
      <c r="A193" s="135" t="s">
        <v>414</v>
      </c>
      <c r="B193" s="136"/>
      <c r="D193" s="75" t="s">
        <v>495</v>
      </c>
      <c r="E193" s="75"/>
      <c r="F193" s="14" t="s">
        <v>247</v>
      </c>
      <c r="H193" s="125"/>
      <c r="I193" s="126"/>
      <c r="J193" s="127"/>
      <c r="L193" s="78"/>
      <c r="M193" s="78"/>
      <c r="N193" s="78"/>
      <c r="P193" s="78"/>
      <c r="Q193" s="78"/>
      <c r="R193" s="78"/>
      <c r="T193" s="78"/>
      <c r="U193" s="78"/>
      <c r="V193" s="78"/>
      <c r="X193" s="78"/>
      <c r="Y193" s="78"/>
      <c r="Z193" s="78"/>
      <c r="AB193" s="78"/>
      <c r="AC193" s="78"/>
      <c r="AD193" s="78"/>
      <c r="AF193" s="78"/>
      <c r="AG193" s="78"/>
      <c r="AH193" s="78"/>
      <c r="AJ193" s="78"/>
      <c r="AK193" s="78"/>
      <c r="AL193" s="79"/>
      <c r="AN193" s="31"/>
      <c r="AO193" s="31"/>
      <c r="AP193" s="31"/>
    </row>
    <row r="194" spans="1:42" ht="15" customHeight="1" outlineLevel="1" x14ac:dyDescent="0.25">
      <c r="A194" s="135" t="s">
        <v>417</v>
      </c>
      <c r="B194" s="136"/>
      <c r="D194" s="75" t="s">
        <v>496</v>
      </c>
      <c r="E194" s="75"/>
      <c r="F194" s="14" t="s">
        <v>247</v>
      </c>
      <c r="H194" s="125"/>
      <c r="I194" s="126"/>
      <c r="J194" s="127"/>
      <c r="L194" s="78"/>
      <c r="M194" s="78"/>
      <c r="N194" s="78"/>
      <c r="P194" s="78"/>
      <c r="Q194" s="78"/>
      <c r="R194" s="78"/>
      <c r="T194" s="78"/>
      <c r="U194" s="78"/>
      <c r="V194" s="78"/>
      <c r="X194" s="78"/>
      <c r="Y194" s="78"/>
      <c r="Z194" s="78"/>
      <c r="AB194" s="78"/>
      <c r="AC194" s="78"/>
      <c r="AD194" s="78"/>
      <c r="AF194" s="78"/>
      <c r="AG194" s="78"/>
      <c r="AH194" s="78"/>
      <c r="AJ194" s="78"/>
      <c r="AK194" s="78"/>
      <c r="AL194" s="79"/>
      <c r="AN194" s="31"/>
      <c r="AO194" s="31"/>
      <c r="AP194" s="31"/>
    </row>
    <row r="195" spans="1:42" ht="15" customHeight="1" outlineLevel="1" x14ac:dyDescent="0.25">
      <c r="A195" s="135" t="s">
        <v>416</v>
      </c>
      <c r="B195" s="136"/>
      <c r="D195" s="75" t="s">
        <v>497</v>
      </c>
      <c r="E195" s="75"/>
      <c r="F195" s="14" t="s">
        <v>247</v>
      </c>
      <c r="H195" s="125"/>
      <c r="I195" s="126"/>
      <c r="J195" s="127"/>
      <c r="L195" s="78"/>
      <c r="M195" s="78"/>
      <c r="N195" s="78"/>
      <c r="P195" s="78"/>
      <c r="Q195" s="78"/>
      <c r="R195" s="78"/>
      <c r="T195" s="78"/>
      <c r="U195" s="78"/>
      <c r="V195" s="78"/>
      <c r="X195" s="78"/>
      <c r="Y195" s="78"/>
      <c r="Z195" s="78"/>
      <c r="AB195" s="78"/>
      <c r="AC195" s="78"/>
      <c r="AD195" s="78"/>
      <c r="AF195" s="78"/>
      <c r="AG195" s="78"/>
      <c r="AH195" s="78"/>
      <c r="AJ195" s="78"/>
      <c r="AK195" s="78"/>
      <c r="AL195" s="79"/>
      <c r="AN195" s="31"/>
      <c r="AO195" s="31"/>
      <c r="AP195" s="31"/>
    </row>
    <row r="196" spans="1:42" ht="15" customHeight="1" outlineLevel="1" x14ac:dyDescent="0.25">
      <c r="A196" s="135" t="s">
        <v>415</v>
      </c>
      <c r="B196" s="136"/>
      <c r="D196" s="75" t="s">
        <v>498</v>
      </c>
      <c r="E196" s="75"/>
      <c r="F196" s="14" t="s">
        <v>247</v>
      </c>
      <c r="H196" s="125"/>
      <c r="I196" s="126"/>
      <c r="J196" s="127"/>
      <c r="L196" s="78"/>
      <c r="M196" s="78"/>
      <c r="N196" s="78"/>
      <c r="P196" s="78"/>
      <c r="Q196" s="78"/>
      <c r="R196" s="78"/>
      <c r="T196" s="78"/>
      <c r="U196" s="78"/>
      <c r="V196" s="78"/>
      <c r="X196" s="78"/>
      <c r="Y196" s="78"/>
      <c r="Z196" s="78"/>
      <c r="AB196" s="78"/>
      <c r="AC196" s="78"/>
      <c r="AD196" s="78"/>
      <c r="AF196" s="78"/>
      <c r="AG196" s="78"/>
      <c r="AH196" s="78"/>
      <c r="AJ196" s="78"/>
      <c r="AK196" s="78"/>
      <c r="AL196" s="79"/>
      <c r="AN196" s="31"/>
      <c r="AO196" s="31"/>
      <c r="AP196" s="31"/>
    </row>
    <row r="197" spans="1:42" ht="15" customHeight="1" outlineLevel="1" x14ac:dyDescent="0.25">
      <c r="A197" s="135" t="s">
        <v>418</v>
      </c>
      <c r="B197" s="136"/>
      <c r="D197" s="75" t="s">
        <v>499</v>
      </c>
      <c r="E197" s="75"/>
      <c r="F197" s="14" t="s">
        <v>247</v>
      </c>
      <c r="H197" s="125"/>
      <c r="I197" s="126"/>
      <c r="J197" s="127"/>
      <c r="L197" s="78"/>
      <c r="M197" s="78"/>
      <c r="N197" s="78"/>
      <c r="P197" s="78"/>
      <c r="Q197" s="78"/>
      <c r="R197" s="78"/>
      <c r="T197" s="78"/>
      <c r="U197" s="78"/>
      <c r="V197" s="78"/>
      <c r="X197" s="78"/>
      <c r="Y197" s="78"/>
      <c r="Z197" s="78"/>
      <c r="AB197" s="78"/>
      <c r="AC197" s="78"/>
      <c r="AD197" s="78"/>
      <c r="AF197" s="78"/>
      <c r="AG197" s="78"/>
      <c r="AH197" s="78"/>
      <c r="AJ197" s="78"/>
      <c r="AK197" s="78"/>
      <c r="AL197" s="79"/>
      <c r="AN197" s="31"/>
      <c r="AO197" s="31"/>
      <c r="AP197" s="31"/>
    </row>
    <row r="198" spans="1:42" ht="15" customHeight="1" outlineLevel="1" x14ac:dyDescent="0.25">
      <c r="A198" s="135" t="s">
        <v>349</v>
      </c>
      <c r="B198" s="136"/>
      <c r="D198" s="75" t="s">
        <v>500</v>
      </c>
      <c r="E198" s="75"/>
      <c r="F198" s="14" t="s">
        <v>247</v>
      </c>
      <c r="H198" s="125"/>
      <c r="I198" s="126"/>
      <c r="J198" s="127"/>
      <c r="L198" s="78"/>
      <c r="M198" s="78"/>
      <c r="N198" s="78"/>
      <c r="P198" s="78"/>
      <c r="Q198" s="78"/>
      <c r="R198" s="78"/>
      <c r="T198" s="78"/>
      <c r="U198" s="78"/>
      <c r="V198" s="78"/>
      <c r="X198" s="78"/>
      <c r="Y198" s="78"/>
      <c r="Z198" s="78"/>
      <c r="AB198" s="78"/>
      <c r="AC198" s="78"/>
      <c r="AD198" s="78"/>
      <c r="AF198" s="78"/>
      <c r="AG198" s="78"/>
      <c r="AH198" s="78"/>
      <c r="AJ198" s="78"/>
      <c r="AK198" s="78"/>
      <c r="AL198" s="79"/>
      <c r="AN198" s="31"/>
      <c r="AO198" s="31"/>
      <c r="AP198" s="31"/>
    </row>
    <row r="199" spans="1:42" ht="15" customHeight="1" outlineLevel="1" x14ac:dyDescent="0.25">
      <c r="A199" s="135" t="s">
        <v>419</v>
      </c>
      <c r="B199" s="136"/>
      <c r="D199" s="75" t="s">
        <v>501</v>
      </c>
      <c r="E199" s="75"/>
      <c r="F199" s="14" t="s">
        <v>247</v>
      </c>
      <c r="H199" s="125"/>
      <c r="I199" s="126"/>
      <c r="J199" s="127"/>
      <c r="L199" s="78"/>
      <c r="M199" s="78"/>
      <c r="N199" s="78"/>
      <c r="P199" s="78"/>
      <c r="Q199" s="78"/>
      <c r="R199" s="78"/>
      <c r="T199" s="78"/>
      <c r="U199" s="78"/>
      <c r="V199" s="78"/>
      <c r="X199" s="78"/>
      <c r="Y199" s="78"/>
      <c r="Z199" s="78"/>
      <c r="AB199" s="78"/>
      <c r="AC199" s="78"/>
      <c r="AD199" s="78"/>
      <c r="AF199" s="78"/>
      <c r="AG199" s="78"/>
      <c r="AH199" s="78"/>
      <c r="AJ199" s="78"/>
      <c r="AK199" s="78"/>
      <c r="AL199" s="79"/>
      <c r="AN199" s="31"/>
      <c r="AO199" s="31"/>
      <c r="AP199" s="31"/>
    </row>
    <row r="200" spans="1:42" ht="15" customHeight="1" outlineLevel="1" x14ac:dyDescent="0.25">
      <c r="A200" s="135" t="s">
        <v>420</v>
      </c>
      <c r="B200" s="136"/>
      <c r="D200" s="75" t="s">
        <v>502</v>
      </c>
      <c r="E200" s="75"/>
      <c r="F200" s="14" t="s">
        <v>247</v>
      </c>
      <c r="H200" s="125"/>
      <c r="I200" s="126"/>
      <c r="J200" s="127"/>
      <c r="L200" s="78"/>
      <c r="M200" s="78"/>
      <c r="N200" s="78"/>
      <c r="P200" s="78"/>
      <c r="Q200" s="78"/>
      <c r="R200" s="78"/>
      <c r="T200" s="78"/>
      <c r="U200" s="78"/>
      <c r="V200" s="78"/>
      <c r="X200" s="78"/>
      <c r="Y200" s="78"/>
      <c r="Z200" s="78"/>
      <c r="AB200" s="78"/>
      <c r="AC200" s="78"/>
      <c r="AD200" s="78"/>
      <c r="AF200" s="78"/>
      <c r="AG200" s="78"/>
      <c r="AH200" s="78"/>
      <c r="AJ200" s="78"/>
      <c r="AK200" s="78"/>
      <c r="AL200" s="79"/>
      <c r="AN200" s="31"/>
      <c r="AO200" s="31"/>
      <c r="AP200" s="31"/>
    </row>
    <row r="201" spans="1:42" ht="15" customHeight="1" outlineLevel="1" x14ac:dyDescent="0.25">
      <c r="A201" s="135" t="s">
        <v>348</v>
      </c>
      <c r="B201" s="136"/>
      <c r="D201" s="75" t="s">
        <v>503</v>
      </c>
      <c r="E201" s="75"/>
      <c r="F201" s="14" t="s">
        <v>247</v>
      </c>
      <c r="H201" s="125"/>
      <c r="I201" s="126"/>
      <c r="J201" s="127"/>
      <c r="L201" s="78"/>
      <c r="M201" s="78"/>
      <c r="N201" s="78"/>
      <c r="P201" s="78"/>
      <c r="Q201" s="78"/>
      <c r="R201" s="78"/>
      <c r="T201" s="78"/>
      <c r="U201" s="78"/>
      <c r="V201" s="78"/>
      <c r="X201" s="78"/>
      <c r="Y201" s="78"/>
      <c r="Z201" s="78"/>
      <c r="AB201" s="78"/>
      <c r="AC201" s="78"/>
      <c r="AD201" s="78"/>
      <c r="AF201" s="78"/>
      <c r="AG201" s="78"/>
      <c r="AH201" s="78"/>
      <c r="AJ201" s="78"/>
      <c r="AK201" s="78"/>
      <c r="AL201" s="79"/>
      <c r="AN201" s="31"/>
      <c r="AO201" s="31"/>
      <c r="AP201" s="31"/>
    </row>
    <row r="202" spans="1:42" ht="15" customHeight="1" outlineLevel="1" x14ac:dyDescent="0.25">
      <c r="A202" s="135" t="s">
        <v>345</v>
      </c>
      <c r="B202" s="136"/>
      <c r="D202" s="75" t="s">
        <v>488</v>
      </c>
      <c r="E202" s="75"/>
      <c r="F202" s="14" t="s">
        <v>247</v>
      </c>
      <c r="H202" s="125"/>
      <c r="I202" s="126"/>
      <c r="J202" s="127"/>
      <c r="L202" s="78"/>
      <c r="M202" s="78"/>
      <c r="N202" s="78"/>
      <c r="P202" s="78"/>
      <c r="Q202" s="78"/>
      <c r="R202" s="78"/>
      <c r="T202" s="78"/>
      <c r="U202" s="78"/>
      <c r="V202" s="78"/>
      <c r="X202" s="78"/>
      <c r="Y202" s="78"/>
      <c r="Z202" s="78"/>
      <c r="AB202" s="78"/>
      <c r="AC202" s="78"/>
      <c r="AD202" s="78"/>
      <c r="AF202" s="78"/>
      <c r="AG202" s="78"/>
      <c r="AH202" s="78"/>
      <c r="AJ202" s="78"/>
      <c r="AK202" s="78"/>
      <c r="AL202" s="79"/>
      <c r="AN202" s="31"/>
      <c r="AO202" s="31"/>
      <c r="AP202" s="31"/>
    </row>
    <row r="203" spans="1:42" ht="15" customHeight="1" x14ac:dyDescent="0.25">
      <c r="A203" s="142"/>
      <c r="B203" s="143"/>
      <c r="F203" s="19"/>
      <c r="H203" s="18"/>
      <c r="I203" s="17"/>
      <c r="M203" s="17"/>
      <c r="Q203" s="17"/>
      <c r="U203" s="17"/>
      <c r="Y203" s="17"/>
      <c r="AC203" s="17"/>
      <c r="AG203" s="17"/>
      <c r="AK203" s="17"/>
      <c r="AL203" s="19"/>
      <c r="AN203" s="31"/>
      <c r="AO203" s="31"/>
      <c r="AP203" s="31"/>
    </row>
    <row r="204" spans="1:42" ht="15" customHeight="1" outlineLevel="1" x14ac:dyDescent="0.25">
      <c r="A204" s="139" t="s">
        <v>174</v>
      </c>
      <c r="B204" s="140"/>
      <c r="D204" s="140" t="s">
        <v>219</v>
      </c>
      <c r="E204" s="140"/>
      <c r="F204" s="19"/>
      <c r="H204" s="18"/>
      <c r="I204" s="17"/>
      <c r="M204" s="17"/>
      <c r="Q204" s="17"/>
      <c r="U204" s="17"/>
      <c r="Y204" s="17"/>
      <c r="AC204" s="17"/>
      <c r="AG204" s="17"/>
      <c r="AK204" s="17"/>
      <c r="AL204" s="19"/>
      <c r="AN204" s="31"/>
      <c r="AO204" s="31"/>
      <c r="AP204" s="31"/>
    </row>
    <row r="205" spans="1:42" ht="15" customHeight="1" outlineLevel="1" x14ac:dyDescent="0.25">
      <c r="A205" s="135" t="s">
        <v>370</v>
      </c>
      <c r="B205" s="136"/>
      <c r="D205" s="136" t="s">
        <v>371</v>
      </c>
      <c r="E205" s="136"/>
      <c r="F205" s="14" t="s">
        <v>26</v>
      </c>
      <c r="H205" s="125"/>
      <c r="I205" s="126"/>
      <c r="J205" s="127"/>
      <c r="L205" s="78"/>
      <c r="M205" s="78"/>
      <c r="N205" s="78"/>
      <c r="P205" s="78"/>
      <c r="Q205" s="78"/>
      <c r="R205" s="78"/>
      <c r="T205" s="78"/>
      <c r="U205" s="78"/>
      <c r="V205" s="78"/>
      <c r="X205" s="78"/>
      <c r="Y205" s="78"/>
      <c r="Z205" s="78"/>
      <c r="AB205" s="78"/>
      <c r="AC205" s="78"/>
      <c r="AD205" s="78"/>
      <c r="AF205" s="78"/>
      <c r="AG205" s="78"/>
      <c r="AH205" s="78"/>
      <c r="AJ205" s="78"/>
      <c r="AK205" s="78"/>
      <c r="AL205" s="79"/>
      <c r="AN205" s="31"/>
      <c r="AO205" s="31"/>
      <c r="AP205" s="31"/>
    </row>
    <row r="206" spans="1:42" ht="15" customHeight="1" outlineLevel="1" x14ac:dyDescent="0.25">
      <c r="A206" s="135" t="s">
        <v>404</v>
      </c>
      <c r="B206" s="136"/>
      <c r="D206" s="136" t="s">
        <v>405</v>
      </c>
      <c r="E206" s="136"/>
      <c r="F206" s="14" t="s">
        <v>26</v>
      </c>
      <c r="H206" s="125"/>
      <c r="I206" s="126"/>
      <c r="J206" s="127"/>
      <c r="L206" s="78"/>
      <c r="M206" s="78"/>
      <c r="N206" s="78"/>
      <c r="P206" s="78"/>
      <c r="Q206" s="78"/>
      <c r="R206" s="78"/>
      <c r="T206" s="78"/>
      <c r="U206" s="78"/>
      <c r="V206" s="78"/>
      <c r="X206" s="78"/>
      <c r="Y206" s="78"/>
      <c r="Z206" s="78"/>
      <c r="AB206" s="78"/>
      <c r="AC206" s="78"/>
      <c r="AD206" s="78"/>
      <c r="AF206" s="78"/>
      <c r="AG206" s="78"/>
      <c r="AH206" s="78"/>
      <c r="AJ206" s="78"/>
      <c r="AK206" s="78"/>
      <c r="AL206" s="79"/>
      <c r="AN206" s="31"/>
      <c r="AO206" s="31"/>
      <c r="AP206" s="31"/>
    </row>
    <row r="207" spans="1:42" ht="15" customHeight="1" outlineLevel="1" x14ac:dyDescent="0.25">
      <c r="A207" s="135" t="s">
        <v>302</v>
      </c>
      <c r="B207" s="136"/>
      <c r="D207" s="136" t="s">
        <v>220</v>
      </c>
      <c r="E207" s="136"/>
      <c r="F207" s="14" t="s">
        <v>26</v>
      </c>
      <c r="H207" s="125"/>
      <c r="I207" s="126"/>
      <c r="J207" s="127"/>
      <c r="L207" s="78"/>
      <c r="M207" s="78"/>
      <c r="N207" s="78"/>
      <c r="P207" s="78"/>
      <c r="Q207" s="78"/>
      <c r="R207" s="78"/>
      <c r="T207" s="78"/>
      <c r="U207" s="78"/>
      <c r="V207" s="78"/>
      <c r="X207" s="78"/>
      <c r="Y207" s="78"/>
      <c r="Z207" s="78"/>
      <c r="AB207" s="78"/>
      <c r="AC207" s="78"/>
      <c r="AD207" s="78"/>
      <c r="AF207" s="78"/>
      <c r="AG207" s="78"/>
      <c r="AH207" s="78"/>
      <c r="AJ207" s="78"/>
      <c r="AK207" s="78"/>
      <c r="AL207" s="79"/>
      <c r="AN207" s="31"/>
      <c r="AO207" s="31"/>
      <c r="AP207" s="31"/>
    </row>
    <row r="208" spans="1:42" ht="15" customHeight="1" outlineLevel="1" x14ac:dyDescent="0.25">
      <c r="A208" s="141" t="s">
        <v>175</v>
      </c>
      <c r="B208" s="134"/>
      <c r="D208" s="133" t="s">
        <v>221</v>
      </c>
      <c r="E208" s="134"/>
      <c r="F208" s="14" t="s">
        <v>26</v>
      </c>
      <c r="H208" s="125"/>
      <c r="I208" s="126"/>
      <c r="J208" s="127"/>
      <c r="L208" s="78"/>
      <c r="M208" s="78"/>
      <c r="N208" s="78"/>
      <c r="P208" s="78"/>
      <c r="Q208" s="78"/>
      <c r="R208" s="78"/>
      <c r="T208" s="78"/>
      <c r="U208" s="78"/>
      <c r="V208" s="78"/>
      <c r="X208" s="78"/>
      <c r="Y208" s="78"/>
      <c r="Z208" s="78"/>
      <c r="AB208" s="78"/>
      <c r="AC208" s="78"/>
      <c r="AD208" s="78"/>
      <c r="AF208" s="78"/>
      <c r="AG208" s="78"/>
      <c r="AH208" s="78"/>
      <c r="AJ208" s="78"/>
      <c r="AK208" s="78"/>
      <c r="AL208" s="79"/>
      <c r="AN208" s="31"/>
    </row>
    <row r="209" spans="1:42" ht="15" customHeight="1" outlineLevel="1" x14ac:dyDescent="0.25">
      <c r="A209" s="141" t="s">
        <v>176</v>
      </c>
      <c r="B209" s="134"/>
      <c r="D209" s="133" t="s">
        <v>176</v>
      </c>
      <c r="E209" s="134"/>
      <c r="F209" s="14" t="s">
        <v>26</v>
      </c>
      <c r="H209" s="125"/>
      <c r="I209" s="126"/>
      <c r="J209" s="127"/>
      <c r="L209" s="78"/>
      <c r="M209" s="78"/>
      <c r="N209" s="78"/>
      <c r="P209" s="78"/>
      <c r="Q209" s="78"/>
      <c r="R209" s="78"/>
      <c r="T209" s="78"/>
      <c r="U209" s="78"/>
      <c r="V209" s="78"/>
      <c r="X209" s="78"/>
      <c r="Y209" s="78"/>
      <c r="Z209" s="78"/>
      <c r="AB209" s="78"/>
      <c r="AC209" s="78"/>
      <c r="AD209" s="78"/>
      <c r="AF209" s="78"/>
      <c r="AG209" s="78"/>
      <c r="AH209" s="78"/>
      <c r="AJ209" s="78"/>
      <c r="AK209" s="78"/>
      <c r="AL209" s="79"/>
      <c r="AN209" s="31"/>
    </row>
    <row r="210" spans="1:42" ht="15" customHeight="1" outlineLevel="1" x14ac:dyDescent="0.25">
      <c r="A210" s="141" t="s">
        <v>177</v>
      </c>
      <c r="B210" s="134"/>
      <c r="D210" s="133" t="s">
        <v>222</v>
      </c>
      <c r="E210" s="134"/>
      <c r="F210" s="14" t="s">
        <v>26</v>
      </c>
      <c r="H210" s="125"/>
      <c r="I210" s="126"/>
      <c r="J210" s="127"/>
      <c r="L210" s="78"/>
      <c r="M210" s="78"/>
      <c r="N210" s="78"/>
      <c r="P210" s="78"/>
      <c r="Q210" s="78"/>
      <c r="R210" s="78"/>
      <c r="T210" s="78"/>
      <c r="U210" s="78"/>
      <c r="V210" s="78"/>
      <c r="X210" s="78"/>
      <c r="Y210" s="78"/>
      <c r="Z210" s="78"/>
      <c r="AB210" s="78"/>
      <c r="AC210" s="78"/>
      <c r="AD210" s="78"/>
      <c r="AF210" s="78"/>
      <c r="AG210" s="78"/>
      <c r="AH210" s="78"/>
      <c r="AJ210" s="78"/>
      <c r="AK210" s="78"/>
      <c r="AL210" s="79"/>
      <c r="AN210" s="31"/>
    </row>
    <row r="211" spans="1:42" ht="15" customHeight="1" outlineLevel="1" x14ac:dyDescent="0.25">
      <c r="A211" s="141" t="s">
        <v>376</v>
      </c>
      <c r="B211" s="134"/>
      <c r="D211" s="133" t="s">
        <v>379</v>
      </c>
      <c r="E211" s="134"/>
      <c r="F211" s="14" t="s">
        <v>352</v>
      </c>
      <c r="H211" s="125"/>
      <c r="I211" s="126"/>
      <c r="J211" s="127"/>
      <c r="L211" s="78"/>
      <c r="M211" s="78"/>
      <c r="N211" s="78"/>
      <c r="P211" s="78"/>
      <c r="Q211" s="78"/>
      <c r="R211" s="78"/>
      <c r="T211" s="78"/>
      <c r="U211" s="78"/>
      <c r="V211" s="78"/>
      <c r="X211" s="78"/>
      <c r="Y211" s="78"/>
      <c r="Z211" s="78"/>
      <c r="AB211" s="78"/>
      <c r="AC211" s="78"/>
      <c r="AD211" s="78"/>
      <c r="AF211" s="78"/>
      <c r="AG211" s="78"/>
      <c r="AH211" s="78"/>
      <c r="AJ211" s="78"/>
      <c r="AK211" s="78"/>
      <c r="AL211" s="79"/>
      <c r="AN211" s="31"/>
    </row>
    <row r="212" spans="1:42" ht="15" customHeight="1" outlineLevel="1" x14ac:dyDescent="0.25">
      <c r="A212" s="141" t="s">
        <v>377</v>
      </c>
      <c r="B212" s="134"/>
      <c r="D212" s="133" t="s">
        <v>378</v>
      </c>
      <c r="E212" s="134"/>
      <c r="F212" s="14" t="s">
        <v>352</v>
      </c>
      <c r="H212" s="125"/>
      <c r="I212" s="126"/>
      <c r="J212" s="127"/>
      <c r="L212" s="78"/>
      <c r="M212" s="78"/>
      <c r="N212" s="78"/>
      <c r="P212" s="78"/>
      <c r="Q212" s="78"/>
      <c r="R212" s="78"/>
      <c r="T212" s="78"/>
      <c r="U212" s="78"/>
      <c r="V212" s="78"/>
      <c r="X212" s="78"/>
      <c r="Y212" s="78"/>
      <c r="Z212" s="78"/>
      <c r="AB212" s="78"/>
      <c r="AC212" s="78"/>
      <c r="AD212" s="78"/>
      <c r="AF212" s="78"/>
      <c r="AG212" s="78"/>
      <c r="AH212" s="78"/>
      <c r="AJ212" s="78"/>
      <c r="AK212" s="78"/>
      <c r="AL212" s="79"/>
      <c r="AN212" s="31"/>
    </row>
    <row r="213" spans="1:42" ht="15" customHeight="1" outlineLevel="1" x14ac:dyDescent="0.25">
      <c r="A213" s="141" t="s">
        <v>373</v>
      </c>
      <c r="B213" s="134"/>
      <c r="D213" s="133" t="s">
        <v>375</v>
      </c>
      <c r="E213" s="134"/>
      <c r="F213" s="14" t="s">
        <v>374</v>
      </c>
      <c r="H213" s="125"/>
      <c r="I213" s="126"/>
      <c r="J213" s="127"/>
      <c r="L213" s="78"/>
      <c r="M213" s="78"/>
      <c r="N213" s="78"/>
      <c r="P213" s="78"/>
      <c r="Q213" s="78"/>
      <c r="R213" s="78"/>
      <c r="T213" s="78"/>
      <c r="U213" s="78"/>
      <c r="V213" s="78"/>
      <c r="X213" s="78"/>
      <c r="Y213" s="78"/>
      <c r="Z213" s="78"/>
      <c r="AB213" s="78"/>
      <c r="AC213" s="78"/>
      <c r="AD213" s="78"/>
      <c r="AF213" s="78"/>
      <c r="AG213" s="78"/>
      <c r="AH213" s="78"/>
      <c r="AJ213" s="78"/>
      <c r="AK213" s="78"/>
      <c r="AL213" s="79"/>
      <c r="AN213" s="31"/>
    </row>
    <row r="214" spans="1:42" ht="15" customHeight="1" outlineLevel="1" x14ac:dyDescent="0.25">
      <c r="A214" s="141" t="s">
        <v>178</v>
      </c>
      <c r="B214" s="134"/>
      <c r="D214" s="133" t="s">
        <v>223</v>
      </c>
      <c r="E214" s="134"/>
      <c r="F214" s="14" t="s">
        <v>26</v>
      </c>
      <c r="H214" s="125"/>
      <c r="I214" s="126"/>
      <c r="J214" s="127"/>
      <c r="L214" s="78"/>
      <c r="M214" s="78"/>
      <c r="N214" s="78"/>
      <c r="P214" s="78"/>
      <c r="Q214" s="78"/>
      <c r="R214" s="78"/>
      <c r="T214" s="78"/>
      <c r="U214" s="78"/>
      <c r="V214" s="78"/>
      <c r="X214" s="78"/>
      <c r="Y214" s="78"/>
      <c r="Z214" s="78"/>
      <c r="AB214" s="78"/>
      <c r="AC214" s="78"/>
      <c r="AD214" s="78"/>
      <c r="AF214" s="78"/>
      <c r="AG214" s="78"/>
      <c r="AH214" s="78"/>
      <c r="AJ214" s="78"/>
      <c r="AK214" s="78"/>
      <c r="AL214" s="79"/>
      <c r="AN214" s="31"/>
    </row>
    <row r="215" spans="1:42" ht="15" customHeight="1" outlineLevel="1" x14ac:dyDescent="0.25">
      <c r="A215" s="141" t="s">
        <v>303</v>
      </c>
      <c r="B215" s="134"/>
      <c r="D215" s="133" t="s">
        <v>304</v>
      </c>
      <c r="E215" s="134"/>
      <c r="F215" s="14" t="s">
        <v>26</v>
      </c>
      <c r="H215" s="125"/>
      <c r="I215" s="126"/>
      <c r="J215" s="127"/>
      <c r="L215" s="78"/>
      <c r="M215" s="78"/>
      <c r="N215" s="78"/>
      <c r="P215" s="78"/>
      <c r="Q215" s="78"/>
      <c r="R215" s="78"/>
      <c r="T215" s="78"/>
      <c r="U215" s="78"/>
      <c r="V215" s="78"/>
      <c r="X215" s="78"/>
      <c r="Y215" s="78"/>
      <c r="Z215" s="78"/>
      <c r="AB215" s="78"/>
      <c r="AC215" s="78"/>
      <c r="AD215" s="78"/>
      <c r="AF215" s="78"/>
      <c r="AG215" s="78"/>
      <c r="AH215" s="78"/>
      <c r="AJ215" s="78"/>
      <c r="AK215" s="78"/>
      <c r="AL215" s="79"/>
      <c r="AN215" s="31"/>
    </row>
    <row r="216" spans="1:42" ht="15" customHeight="1" outlineLevel="1" x14ac:dyDescent="0.25">
      <c r="A216" s="141" t="s">
        <v>311</v>
      </c>
      <c r="B216" s="134"/>
      <c r="D216" s="133" t="s">
        <v>310</v>
      </c>
      <c r="E216" s="134"/>
      <c r="F216" s="14" t="s">
        <v>26</v>
      </c>
      <c r="H216" s="125"/>
      <c r="I216" s="126"/>
      <c r="J216" s="127"/>
      <c r="L216" s="78"/>
      <c r="M216" s="78"/>
      <c r="N216" s="78"/>
      <c r="P216" s="78"/>
      <c r="Q216" s="78"/>
      <c r="R216" s="78"/>
      <c r="T216" s="78"/>
      <c r="U216" s="78"/>
      <c r="V216" s="78"/>
      <c r="X216" s="78"/>
      <c r="Y216" s="78"/>
      <c r="Z216" s="78"/>
      <c r="AB216" s="78"/>
      <c r="AC216" s="78"/>
      <c r="AD216" s="78"/>
      <c r="AF216" s="78"/>
      <c r="AG216" s="78"/>
      <c r="AH216" s="78"/>
      <c r="AJ216" s="78"/>
      <c r="AK216" s="78"/>
      <c r="AL216" s="79"/>
      <c r="AN216" s="31"/>
    </row>
    <row r="217" spans="1:42" ht="15" customHeight="1" outlineLevel="1" x14ac:dyDescent="0.25">
      <c r="A217" s="141" t="s">
        <v>179</v>
      </c>
      <c r="B217" s="134"/>
      <c r="D217" s="133" t="s">
        <v>224</v>
      </c>
      <c r="E217" s="134"/>
      <c r="F217" s="14" t="s">
        <v>26</v>
      </c>
      <c r="H217" s="125"/>
      <c r="I217" s="126"/>
      <c r="J217" s="127"/>
      <c r="L217" s="78"/>
      <c r="M217" s="78"/>
      <c r="N217" s="78"/>
      <c r="P217" s="78"/>
      <c r="Q217" s="78"/>
      <c r="R217" s="78"/>
      <c r="T217" s="78"/>
      <c r="U217" s="78"/>
      <c r="V217" s="78"/>
      <c r="X217" s="78"/>
      <c r="Y217" s="78"/>
      <c r="Z217" s="78"/>
      <c r="AB217" s="78"/>
      <c r="AC217" s="78"/>
      <c r="AD217" s="78"/>
      <c r="AF217" s="78"/>
      <c r="AG217" s="78"/>
      <c r="AH217" s="78"/>
      <c r="AJ217" s="78"/>
      <c r="AK217" s="78"/>
      <c r="AL217" s="79"/>
      <c r="AN217" s="31"/>
    </row>
    <row r="218" spans="1:42" ht="15" customHeight="1" outlineLevel="1" x14ac:dyDescent="0.25">
      <c r="A218" s="141" t="s">
        <v>180</v>
      </c>
      <c r="B218" s="134"/>
      <c r="D218" s="133" t="s">
        <v>225</v>
      </c>
      <c r="E218" s="134"/>
      <c r="F218" s="14" t="s">
        <v>26</v>
      </c>
      <c r="H218" s="125"/>
      <c r="I218" s="126"/>
      <c r="J218" s="127"/>
      <c r="L218" s="78"/>
      <c r="M218" s="78"/>
      <c r="N218" s="78"/>
      <c r="P218" s="78"/>
      <c r="Q218" s="78"/>
      <c r="R218" s="78"/>
      <c r="T218" s="78"/>
      <c r="U218" s="78"/>
      <c r="V218" s="78"/>
      <c r="X218" s="78"/>
      <c r="Y218" s="78"/>
      <c r="Z218" s="78"/>
      <c r="AB218" s="78"/>
      <c r="AC218" s="78"/>
      <c r="AD218" s="78"/>
      <c r="AF218" s="78"/>
      <c r="AG218" s="78"/>
      <c r="AH218" s="78"/>
      <c r="AJ218" s="78"/>
      <c r="AK218" s="78"/>
      <c r="AL218" s="79"/>
      <c r="AN218" s="31"/>
    </row>
    <row r="219" spans="1:42" ht="15" customHeight="1" outlineLevel="1" x14ac:dyDescent="0.25">
      <c r="A219" s="141" t="s">
        <v>181</v>
      </c>
      <c r="B219" s="134"/>
      <c r="D219" s="133" t="s">
        <v>226</v>
      </c>
      <c r="E219" s="134"/>
      <c r="F219" s="14" t="s">
        <v>26</v>
      </c>
      <c r="H219" s="125"/>
      <c r="I219" s="126"/>
      <c r="J219" s="127"/>
      <c r="L219" s="78"/>
      <c r="M219" s="78"/>
      <c r="N219" s="78"/>
      <c r="P219" s="78"/>
      <c r="Q219" s="78"/>
      <c r="R219" s="78"/>
      <c r="T219" s="78"/>
      <c r="U219" s="78"/>
      <c r="V219" s="78"/>
      <c r="X219" s="78"/>
      <c r="Y219" s="78"/>
      <c r="Z219" s="78"/>
      <c r="AB219" s="78"/>
      <c r="AC219" s="78"/>
      <c r="AD219" s="78"/>
      <c r="AF219" s="78"/>
      <c r="AG219" s="78"/>
      <c r="AH219" s="78"/>
      <c r="AJ219" s="78"/>
      <c r="AK219" s="78"/>
      <c r="AL219" s="79"/>
      <c r="AN219" s="31"/>
    </row>
    <row r="220" spans="1:42" ht="15" customHeight="1" outlineLevel="1" x14ac:dyDescent="0.25">
      <c r="A220" s="141" t="s">
        <v>309</v>
      </c>
      <c r="B220" s="134"/>
      <c r="D220" s="133" t="s">
        <v>241</v>
      </c>
      <c r="E220" s="134"/>
      <c r="F220" s="14" t="s">
        <v>26</v>
      </c>
      <c r="H220" s="125"/>
      <c r="I220" s="126"/>
      <c r="J220" s="127"/>
      <c r="L220" s="78"/>
      <c r="M220" s="78"/>
      <c r="N220" s="78"/>
      <c r="P220" s="78"/>
      <c r="Q220" s="78"/>
      <c r="R220" s="78"/>
      <c r="T220" s="78"/>
      <c r="U220" s="78"/>
      <c r="V220" s="78"/>
      <c r="X220" s="78"/>
      <c r="Y220" s="78"/>
      <c r="Z220" s="78"/>
      <c r="AB220" s="78"/>
      <c r="AC220" s="78"/>
      <c r="AD220" s="78"/>
      <c r="AF220" s="78"/>
      <c r="AG220" s="78"/>
      <c r="AH220" s="78"/>
      <c r="AJ220" s="78"/>
      <c r="AK220" s="78"/>
      <c r="AL220" s="79"/>
      <c r="AN220" s="31"/>
    </row>
    <row r="221" spans="1:42" ht="15" customHeight="1" outlineLevel="1" x14ac:dyDescent="0.25">
      <c r="A221" s="141" t="s">
        <v>182</v>
      </c>
      <c r="B221" s="134"/>
      <c r="D221" s="133" t="s">
        <v>227</v>
      </c>
      <c r="E221" s="134"/>
      <c r="F221" s="14" t="s">
        <v>26</v>
      </c>
      <c r="H221" s="125"/>
      <c r="I221" s="126"/>
      <c r="J221" s="127"/>
      <c r="L221" s="78"/>
      <c r="M221" s="78"/>
      <c r="N221" s="78"/>
      <c r="P221" s="78"/>
      <c r="Q221" s="78"/>
      <c r="R221" s="78"/>
      <c r="T221" s="78"/>
      <c r="U221" s="78"/>
      <c r="V221" s="78"/>
      <c r="X221" s="78"/>
      <c r="Y221" s="78"/>
      <c r="Z221" s="78"/>
      <c r="AB221" s="78"/>
      <c r="AC221" s="78"/>
      <c r="AD221" s="78"/>
      <c r="AF221" s="78"/>
      <c r="AG221" s="78"/>
      <c r="AH221" s="78"/>
      <c r="AJ221" s="78"/>
      <c r="AK221" s="78"/>
      <c r="AL221" s="79"/>
      <c r="AN221" s="31"/>
    </row>
    <row r="222" spans="1:42" ht="15" customHeight="1" outlineLevel="1" x14ac:dyDescent="0.25">
      <c r="A222" s="141" t="s">
        <v>183</v>
      </c>
      <c r="B222" s="134"/>
      <c r="D222" s="133" t="s">
        <v>228</v>
      </c>
      <c r="E222" s="134"/>
      <c r="F222" s="14" t="s">
        <v>26</v>
      </c>
      <c r="H222" s="125"/>
      <c r="I222" s="126"/>
      <c r="J222" s="127"/>
      <c r="L222" s="78"/>
      <c r="M222" s="78"/>
      <c r="N222" s="78"/>
      <c r="P222" s="78"/>
      <c r="Q222" s="78"/>
      <c r="R222" s="78"/>
      <c r="T222" s="78"/>
      <c r="U222" s="78"/>
      <c r="V222" s="78"/>
      <c r="X222" s="78"/>
      <c r="Y222" s="78"/>
      <c r="Z222" s="78"/>
      <c r="AB222" s="78"/>
      <c r="AC222" s="78"/>
      <c r="AD222" s="78"/>
      <c r="AF222" s="78"/>
      <c r="AG222" s="78"/>
      <c r="AH222" s="78"/>
      <c r="AJ222" s="78"/>
      <c r="AK222" s="78"/>
      <c r="AL222" s="79"/>
      <c r="AN222" s="31"/>
    </row>
    <row r="223" spans="1:42" s="16" customFormat="1" ht="15" customHeight="1" outlineLevel="1" x14ac:dyDescent="0.25">
      <c r="A223" s="135" t="s">
        <v>184</v>
      </c>
      <c r="B223" s="136"/>
      <c r="C223" s="17"/>
      <c r="D223" s="136" t="s">
        <v>229</v>
      </c>
      <c r="E223" s="136"/>
      <c r="F223" s="14" t="s">
        <v>26</v>
      </c>
      <c r="H223" s="125"/>
      <c r="I223" s="126"/>
      <c r="J223" s="127"/>
      <c r="L223" s="78"/>
      <c r="M223" s="78"/>
      <c r="N223" s="78"/>
      <c r="P223" s="78"/>
      <c r="Q223" s="78"/>
      <c r="R223" s="78"/>
      <c r="T223" s="78"/>
      <c r="U223" s="78"/>
      <c r="V223" s="78"/>
      <c r="X223" s="78"/>
      <c r="Y223" s="78"/>
      <c r="Z223" s="78"/>
      <c r="AB223" s="78"/>
      <c r="AC223" s="78"/>
      <c r="AD223" s="78"/>
      <c r="AF223" s="78"/>
      <c r="AG223" s="78"/>
      <c r="AH223" s="78"/>
      <c r="AJ223" s="78"/>
      <c r="AK223" s="78"/>
      <c r="AL223" s="79"/>
      <c r="AN223" s="31"/>
      <c r="AO223" s="17"/>
      <c r="AP223" s="17"/>
    </row>
    <row r="224" spans="1:42" s="16" customFormat="1" ht="15" customHeight="1" outlineLevel="1" x14ac:dyDescent="0.25">
      <c r="A224" s="135" t="s">
        <v>185</v>
      </c>
      <c r="B224" s="136"/>
      <c r="C224" s="17"/>
      <c r="D224" s="136" t="s">
        <v>230</v>
      </c>
      <c r="E224" s="136"/>
      <c r="F224" s="14" t="s">
        <v>26</v>
      </c>
      <c r="H224" s="125"/>
      <c r="I224" s="126"/>
      <c r="J224" s="127"/>
      <c r="L224" s="78"/>
      <c r="M224" s="78"/>
      <c r="N224" s="78"/>
      <c r="P224" s="78"/>
      <c r="Q224" s="78"/>
      <c r="R224" s="78"/>
      <c r="T224" s="78"/>
      <c r="U224" s="78"/>
      <c r="V224" s="78"/>
      <c r="X224" s="78"/>
      <c r="Y224" s="78"/>
      <c r="Z224" s="78"/>
      <c r="AB224" s="78"/>
      <c r="AC224" s="78"/>
      <c r="AD224" s="78"/>
      <c r="AF224" s="78"/>
      <c r="AG224" s="78"/>
      <c r="AH224" s="78"/>
      <c r="AJ224" s="78"/>
      <c r="AK224" s="78"/>
      <c r="AL224" s="79"/>
      <c r="AN224" s="31"/>
      <c r="AO224" s="17"/>
      <c r="AP224" s="17"/>
    </row>
    <row r="225" spans="1:42" s="16" customFormat="1" ht="15" customHeight="1" outlineLevel="1" x14ac:dyDescent="0.25">
      <c r="A225" s="135" t="s">
        <v>369</v>
      </c>
      <c r="B225" s="136"/>
      <c r="C225" s="17"/>
      <c r="D225" s="136" t="s">
        <v>231</v>
      </c>
      <c r="E225" s="136"/>
      <c r="F225" s="14" t="s">
        <v>26</v>
      </c>
      <c r="H225" s="125"/>
      <c r="I225" s="126"/>
      <c r="J225" s="127"/>
      <c r="L225" s="78"/>
      <c r="M225" s="78"/>
      <c r="N225" s="78"/>
      <c r="P225" s="78"/>
      <c r="Q225" s="78"/>
      <c r="R225" s="78"/>
      <c r="T225" s="78"/>
      <c r="U225" s="78"/>
      <c r="V225" s="78"/>
      <c r="X225" s="78"/>
      <c r="Y225" s="78"/>
      <c r="Z225" s="78"/>
      <c r="AB225" s="78"/>
      <c r="AC225" s="78"/>
      <c r="AD225" s="78"/>
      <c r="AF225" s="78"/>
      <c r="AG225" s="78"/>
      <c r="AH225" s="78"/>
      <c r="AJ225" s="78"/>
      <c r="AK225" s="78"/>
      <c r="AL225" s="79"/>
      <c r="AN225" s="31"/>
      <c r="AO225" s="17"/>
      <c r="AP225" s="17"/>
    </row>
    <row r="226" spans="1:42" outlineLevel="1" x14ac:dyDescent="0.25">
      <c r="A226" s="135" t="s">
        <v>186</v>
      </c>
      <c r="B226" s="136"/>
      <c r="D226" s="136" t="s">
        <v>186</v>
      </c>
      <c r="E226" s="136"/>
      <c r="F226" s="14" t="s">
        <v>26</v>
      </c>
      <c r="H226" s="125"/>
      <c r="I226" s="126"/>
      <c r="J226" s="127"/>
      <c r="L226" s="78"/>
      <c r="M226" s="78"/>
      <c r="N226" s="78"/>
      <c r="P226" s="78"/>
      <c r="Q226" s="78"/>
      <c r="R226" s="78"/>
      <c r="T226" s="78"/>
      <c r="U226" s="78"/>
      <c r="V226" s="78"/>
      <c r="X226" s="78"/>
      <c r="Y226" s="78"/>
      <c r="Z226" s="78"/>
      <c r="AB226" s="78"/>
      <c r="AC226" s="78"/>
      <c r="AD226" s="78"/>
      <c r="AF226" s="78"/>
      <c r="AG226" s="78"/>
      <c r="AH226" s="78"/>
      <c r="AJ226" s="78"/>
      <c r="AK226" s="78"/>
      <c r="AL226" s="79"/>
      <c r="AN226" s="31"/>
    </row>
    <row r="227" spans="1:42" outlineLevel="1" x14ac:dyDescent="0.25">
      <c r="A227" s="135" t="s">
        <v>305</v>
      </c>
      <c r="B227" s="136"/>
      <c r="D227" s="136" t="s">
        <v>232</v>
      </c>
      <c r="E227" s="136"/>
      <c r="F227" s="14" t="s">
        <v>26</v>
      </c>
      <c r="H227" s="125"/>
      <c r="I227" s="126"/>
      <c r="J227" s="127"/>
      <c r="L227" s="78"/>
      <c r="M227" s="78"/>
      <c r="N227" s="78"/>
      <c r="P227" s="78"/>
      <c r="Q227" s="78"/>
      <c r="R227" s="78"/>
      <c r="T227" s="78"/>
      <c r="U227" s="78"/>
      <c r="V227" s="78"/>
      <c r="X227" s="78"/>
      <c r="Y227" s="78"/>
      <c r="Z227" s="78"/>
      <c r="AB227" s="78"/>
      <c r="AC227" s="78"/>
      <c r="AD227" s="78"/>
      <c r="AF227" s="78"/>
      <c r="AG227" s="78"/>
      <c r="AH227" s="78"/>
      <c r="AJ227" s="78"/>
      <c r="AK227" s="78"/>
      <c r="AL227" s="79"/>
      <c r="AN227" s="31"/>
    </row>
    <row r="228" spans="1:42" outlineLevel="1" x14ac:dyDescent="0.25">
      <c r="A228" s="135" t="s">
        <v>306</v>
      </c>
      <c r="B228" s="136"/>
      <c r="D228" s="136" t="s">
        <v>307</v>
      </c>
      <c r="E228" s="136"/>
      <c r="F228" s="14" t="s">
        <v>26</v>
      </c>
      <c r="H228" s="125"/>
      <c r="I228" s="126"/>
      <c r="J228" s="127"/>
      <c r="L228" s="78"/>
      <c r="M228" s="78"/>
      <c r="N228" s="78"/>
      <c r="P228" s="78"/>
      <c r="Q228" s="78"/>
      <c r="R228" s="78"/>
      <c r="T228" s="78"/>
      <c r="U228" s="78"/>
      <c r="V228" s="78"/>
      <c r="X228" s="78"/>
      <c r="Y228" s="78"/>
      <c r="Z228" s="78"/>
      <c r="AB228" s="78"/>
      <c r="AC228" s="78"/>
      <c r="AD228" s="78"/>
      <c r="AF228" s="78"/>
      <c r="AG228" s="78"/>
      <c r="AH228" s="78"/>
      <c r="AJ228" s="78"/>
      <c r="AK228" s="78"/>
      <c r="AL228" s="79"/>
      <c r="AN228" s="31"/>
    </row>
    <row r="229" spans="1:42" outlineLevel="1" x14ac:dyDescent="0.25">
      <c r="A229" s="141" t="s">
        <v>308</v>
      </c>
      <c r="B229" s="134"/>
      <c r="D229" s="133" t="s">
        <v>242</v>
      </c>
      <c r="E229" s="134"/>
      <c r="F229" s="14" t="s">
        <v>26</v>
      </c>
      <c r="H229" s="125"/>
      <c r="I229" s="126"/>
      <c r="J229" s="127"/>
      <c r="L229" s="128"/>
      <c r="M229" s="126"/>
      <c r="N229" s="127"/>
      <c r="P229" s="128"/>
      <c r="Q229" s="126"/>
      <c r="R229" s="127"/>
      <c r="T229" s="128"/>
      <c r="U229" s="126"/>
      <c r="V229" s="127"/>
      <c r="X229" s="128"/>
      <c r="Y229" s="126"/>
      <c r="Z229" s="127"/>
      <c r="AB229" s="128"/>
      <c r="AC229" s="126"/>
      <c r="AD229" s="127"/>
      <c r="AF229" s="128"/>
      <c r="AG229" s="126"/>
      <c r="AH229" s="127"/>
      <c r="AJ229" s="128"/>
      <c r="AK229" s="126"/>
      <c r="AL229" s="192"/>
      <c r="AN229" s="31"/>
    </row>
    <row r="230" spans="1:42" outlineLevel="1" x14ac:dyDescent="0.25">
      <c r="A230" s="141" t="s">
        <v>362</v>
      </c>
      <c r="B230" s="134"/>
      <c r="D230" s="133" t="s">
        <v>363</v>
      </c>
      <c r="E230" s="134"/>
      <c r="F230" s="14" t="s">
        <v>26</v>
      </c>
      <c r="H230" s="125"/>
      <c r="I230" s="126"/>
      <c r="J230" s="127"/>
      <c r="L230" s="128"/>
      <c r="M230" s="126"/>
      <c r="N230" s="127"/>
      <c r="P230" s="128"/>
      <c r="Q230" s="126"/>
      <c r="R230" s="127"/>
      <c r="T230" s="128"/>
      <c r="U230" s="126"/>
      <c r="V230" s="127"/>
      <c r="X230" s="128"/>
      <c r="Y230" s="126"/>
      <c r="Z230" s="127"/>
      <c r="AB230" s="128"/>
      <c r="AC230" s="126"/>
      <c r="AD230" s="127"/>
      <c r="AF230" s="128"/>
      <c r="AG230" s="126"/>
      <c r="AH230" s="127"/>
      <c r="AJ230" s="128"/>
      <c r="AK230" s="126"/>
      <c r="AL230" s="192"/>
      <c r="AN230" s="31"/>
    </row>
    <row r="231" spans="1:42" outlineLevel="1" x14ac:dyDescent="0.25">
      <c r="A231" s="135" t="s">
        <v>187</v>
      </c>
      <c r="B231" s="136"/>
      <c r="D231" s="136" t="s">
        <v>233</v>
      </c>
      <c r="E231" s="136"/>
      <c r="F231" s="14" t="s">
        <v>290</v>
      </c>
      <c r="H231" s="125"/>
      <c r="I231" s="126"/>
      <c r="J231" s="127"/>
      <c r="L231" s="78"/>
      <c r="M231" s="78"/>
      <c r="N231" s="78"/>
      <c r="P231" s="78"/>
      <c r="Q231" s="78"/>
      <c r="R231" s="78"/>
      <c r="T231" s="78"/>
      <c r="U231" s="78"/>
      <c r="V231" s="78"/>
      <c r="X231" s="78"/>
      <c r="Y231" s="78"/>
      <c r="Z231" s="78"/>
      <c r="AB231" s="78"/>
      <c r="AC231" s="78"/>
      <c r="AD231" s="78"/>
      <c r="AF231" s="78"/>
      <c r="AG231" s="78"/>
      <c r="AH231" s="78"/>
      <c r="AJ231" s="78"/>
      <c r="AK231" s="78"/>
      <c r="AL231" s="79"/>
      <c r="AN231" s="31"/>
    </row>
    <row r="232" spans="1:42" x14ac:dyDescent="0.25">
      <c r="A232" s="142"/>
      <c r="B232" s="143"/>
      <c r="F232" s="19"/>
      <c r="H232" s="18"/>
      <c r="I232" s="17"/>
      <c r="M232" s="17"/>
      <c r="Q232" s="17"/>
      <c r="U232" s="17"/>
      <c r="Y232" s="17"/>
      <c r="AC232" s="17"/>
      <c r="AG232" s="17"/>
      <c r="AK232" s="17"/>
      <c r="AL232" s="19"/>
      <c r="AN232" s="31"/>
    </row>
    <row r="233" spans="1:42" x14ac:dyDescent="0.25">
      <c r="A233" s="144" t="s">
        <v>188</v>
      </c>
      <c r="B233" s="145"/>
      <c r="D233" s="145" t="s">
        <v>234</v>
      </c>
      <c r="E233" s="145"/>
      <c r="F233" s="19"/>
      <c r="H233" s="18"/>
      <c r="AL233" s="19"/>
      <c r="AN233" s="31"/>
    </row>
    <row r="234" spans="1:42" x14ac:dyDescent="0.25">
      <c r="A234" s="137" t="s">
        <v>189</v>
      </c>
      <c r="B234" s="138"/>
      <c r="D234" s="82" t="s">
        <v>78</v>
      </c>
      <c r="E234" s="82"/>
      <c r="F234" s="14" t="s">
        <v>79</v>
      </c>
      <c r="H234" s="123"/>
      <c r="I234" s="124"/>
      <c r="J234" s="124"/>
      <c r="K234" s="34"/>
      <c r="L234" s="124"/>
      <c r="M234" s="124"/>
      <c r="N234" s="124"/>
      <c r="O234" s="34"/>
      <c r="P234" s="124"/>
      <c r="Q234" s="124"/>
      <c r="R234" s="124"/>
      <c r="S234" s="34"/>
      <c r="T234" s="124"/>
      <c r="U234" s="124"/>
      <c r="V234" s="124"/>
      <c r="W234" s="34"/>
      <c r="X234" s="124"/>
      <c r="Y234" s="124"/>
      <c r="Z234" s="124"/>
      <c r="AA234" s="34"/>
      <c r="AB234" s="124"/>
      <c r="AC234" s="124"/>
      <c r="AD234" s="124"/>
      <c r="AE234" s="34"/>
      <c r="AF234" s="124"/>
      <c r="AG234" s="124"/>
      <c r="AH234" s="124"/>
      <c r="AI234" s="34"/>
      <c r="AJ234" s="124"/>
      <c r="AK234" s="124"/>
      <c r="AL234" s="198"/>
      <c r="AM234" s="34"/>
      <c r="AN234" s="31"/>
    </row>
    <row r="235" spans="1:42" x14ac:dyDescent="0.25">
      <c r="A235" s="137" t="s">
        <v>190</v>
      </c>
      <c r="B235" s="138"/>
      <c r="D235" s="82" t="s">
        <v>80</v>
      </c>
      <c r="E235" s="82"/>
      <c r="F235" s="14" t="s">
        <v>79</v>
      </c>
      <c r="H235" s="123"/>
      <c r="I235" s="124"/>
      <c r="J235" s="124"/>
      <c r="K235" s="34"/>
      <c r="L235" s="124"/>
      <c r="M235" s="124"/>
      <c r="N235" s="124"/>
      <c r="O235" s="34"/>
      <c r="P235" s="124"/>
      <c r="Q235" s="124"/>
      <c r="R235" s="124"/>
      <c r="S235" s="34"/>
      <c r="T235" s="124"/>
      <c r="U235" s="124"/>
      <c r="V235" s="124"/>
      <c r="W235" s="34"/>
      <c r="X235" s="124"/>
      <c r="Y235" s="124"/>
      <c r="Z235" s="124"/>
      <c r="AA235" s="34"/>
      <c r="AB235" s="124"/>
      <c r="AC235" s="124"/>
      <c r="AD235" s="124"/>
      <c r="AE235" s="34"/>
      <c r="AF235" s="124"/>
      <c r="AG235" s="124"/>
      <c r="AH235" s="124"/>
      <c r="AI235" s="34"/>
      <c r="AJ235" s="124"/>
      <c r="AK235" s="124"/>
      <c r="AL235" s="198"/>
      <c r="AM235" s="34"/>
      <c r="AN235" s="31"/>
    </row>
    <row r="236" spans="1:42" x14ac:dyDescent="0.25">
      <c r="A236" s="36"/>
      <c r="F236" s="19"/>
      <c r="H236" s="37"/>
      <c r="I236" s="31"/>
      <c r="J236" s="31"/>
      <c r="K236" s="34"/>
      <c r="L236" s="31"/>
      <c r="M236" s="31"/>
      <c r="N236" s="31"/>
      <c r="O236" s="34"/>
      <c r="P236" s="31"/>
      <c r="Q236" s="31"/>
      <c r="R236" s="31"/>
      <c r="S236" s="34"/>
      <c r="T236" s="31"/>
      <c r="U236" s="31"/>
      <c r="V236" s="31"/>
      <c r="W236" s="34"/>
      <c r="X236" s="31"/>
      <c r="Y236" s="31"/>
      <c r="Z236" s="31"/>
      <c r="AA236" s="34"/>
      <c r="AB236" s="31"/>
      <c r="AC236" s="31"/>
      <c r="AD236" s="31"/>
      <c r="AE236" s="34"/>
      <c r="AF236" s="31"/>
      <c r="AG236" s="31"/>
      <c r="AH236" s="31"/>
      <c r="AI236" s="34"/>
      <c r="AJ236" s="31"/>
      <c r="AK236" s="31"/>
      <c r="AL236" s="38"/>
      <c r="AM236" s="34"/>
      <c r="AN236" s="31"/>
    </row>
    <row r="237" spans="1:42" x14ac:dyDescent="0.25">
      <c r="A237" s="144" t="s">
        <v>267</v>
      </c>
      <c r="B237" s="145"/>
      <c r="D237" s="140" t="s">
        <v>244</v>
      </c>
      <c r="E237" s="140"/>
      <c r="F237" s="19"/>
      <c r="H237" s="37"/>
      <c r="I237" s="31"/>
      <c r="J237" s="31"/>
      <c r="K237" s="34"/>
      <c r="L237" s="31"/>
      <c r="M237" s="31"/>
      <c r="N237" s="31"/>
      <c r="O237" s="34"/>
      <c r="P237" s="31"/>
      <c r="Q237" s="31"/>
      <c r="R237" s="31"/>
      <c r="S237" s="34"/>
      <c r="T237" s="31"/>
      <c r="U237" s="31"/>
      <c r="V237" s="31"/>
      <c r="W237" s="34"/>
      <c r="X237" s="31"/>
      <c r="Y237" s="31"/>
      <c r="Z237" s="31"/>
      <c r="AA237" s="34"/>
      <c r="AB237" s="31"/>
      <c r="AC237" s="31"/>
      <c r="AD237" s="31"/>
      <c r="AE237" s="34"/>
      <c r="AF237" s="31"/>
      <c r="AG237" s="31"/>
      <c r="AH237" s="31"/>
      <c r="AI237" s="34"/>
      <c r="AJ237" s="31"/>
      <c r="AK237" s="31"/>
      <c r="AL237" s="38"/>
      <c r="AM237" s="34"/>
      <c r="AN237" s="31"/>
    </row>
    <row r="238" spans="1:42" x14ac:dyDescent="0.25">
      <c r="A238" s="7" t="s">
        <v>235</v>
      </c>
      <c r="B238" s="4" t="s">
        <v>237</v>
      </c>
      <c r="D238" s="5" t="s">
        <v>93</v>
      </c>
      <c r="E238" s="5" t="s">
        <v>236</v>
      </c>
      <c r="F238" s="14"/>
      <c r="H238" s="37" t="s">
        <v>94</v>
      </c>
      <c r="I238" s="34" t="s">
        <v>95</v>
      </c>
      <c r="J238" s="31" t="s">
        <v>96</v>
      </c>
      <c r="K238" s="34"/>
      <c r="L238" s="31" t="s">
        <v>94</v>
      </c>
      <c r="M238" s="34" t="s">
        <v>95</v>
      </c>
      <c r="N238" s="31" t="s">
        <v>96</v>
      </c>
      <c r="O238" s="34"/>
      <c r="P238" s="31" t="s">
        <v>94</v>
      </c>
      <c r="Q238" s="34" t="s">
        <v>95</v>
      </c>
      <c r="R238" s="31" t="s">
        <v>96</v>
      </c>
      <c r="S238" s="34"/>
      <c r="T238" s="31" t="s">
        <v>94</v>
      </c>
      <c r="U238" s="34" t="s">
        <v>95</v>
      </c>
      <c r="V238" s="31" t="s">
        <v>96</v>
      </c>
      <c r="W238" s="34"/>
      <c r="X238" s="31" t="s">
        <v>94</v>
      </c>
      <c r="Y238" s="34" t="s">
        <v>95</v>
      </c>
      <c r="Z238" s="31" t="s">
        <v>96</v>
      </c>
      <c r="AA238" s="34"/>
      <c r="AB238" s="31" t="s">
        <v>94</v>
      </c>
      <c r="AC238" s="34" t="s">
        <v>95</v>
      </c>
      <c r="AD238" s="31" t="s">
        <v>96</v>
      </c>
      <c r="AE238" s="34"/>
      <c r="AF238" s="31" t="s">
        <v>94</v>
      </c>
      <c r="AG238" s="34" t="s">
        <v>95</v>
      </c>
      <c r="AH238" s="31" t="s">
        <v>96</v>
      </c>
      <c r="AI238" s="34"/>
      <c r="AJ238" s="31" t="s">
        <v>94</v>
      </c>
      <c r="AK238" s="34" t="s">
        <v>95</v>
      </c>
      <c r="AL238" s="38" t="s">
        <v>96</v>
      </c>
      <c r="AM238" s="34"/>
      <c r="AN238" s="31"/>
    </row>
    <row r="239" spans="1:42" x14ac:dyDescent="0.25">
      <c r="A239" s="28" t="s">
        <v>191</v>
      </c>
      <c r="B239" s="39">
        <v>20.3</v>
      </c>
      <c r="D239" s="6" t="s">
        <v>81</v>
      </c>
      <c r="E239" s="40">
        <v>20.3</v>
      </c>
      <c r="F239" s="14" t="s">
        <v>21</v>
      </c>
      <c r="H239" s="32"/>
      <c r="I239" s="41"/>
      <c r="J239" s="33"/>
      <c r="K239" s="34"/>
      <c r="L239" s="33"/>
      <c r="M239" s="41"/>
      <c r="N239" s="33"/>
      <c r="O239" s="34"/>
      <c r="P239" s="33"/>
      <c r="Q239" s="41"/>
      <c r="R239" s="33"/>
      <c r="S239" s="34"/>
      <c r="T239" s="33"/>
      <c r="U239" s="41"/>
      <c r="V239" s="33"/>
      <c r="W239" s="34"/>
      <c r="X239" s="33"/>
      <c r="Y239" s="41"/>
      <c r="Z239" s="33"/>
      <c r="AA239" s="34"/>
      <c r="AB239" s="33"/>
      <c r="AC239" s="41"/>
      <c r="AD239" s="33"/>
      <c r="AE239" s="34"/>
      <c r="AF239" s="33"/>
      <c r="AG239" s="41"/>
      <c r="AH239" s="33"/>
      <c r="AI239" s="34"/>
      <c r="AJ239" s="33"/>
      <c r="AK239" s="41"/>
      <c r="AL239" s="35"/>
      <c r="AM239" s="34"/>
      <c r="AN239" s="31"/>
    </row>
    <row r="240" spans="1:42" x14ac:dyDescent="0.25">
      <c r="A240" s="28" t="s">
        <v>192</v>
      </c>
      <c r="B240" s="39">
        <v>17.149999999999999</v>
      </c>
      <c r="D240" s="6" t="s">
        <v>82</v>
      </c>
      <c r="E240" s="40">
        <v>17.149999999999999</v>
      </c>
      <c r="F240" s="14" t="s">
        <v>21</v>
      </c>
      <c r="H240" s="32"/>
      <c r="I240" s="41"/>
      <c r="J240" s="33"/>
      <c r="K240" s="34"/>
      <c r="L240" s="33"/>
      <c r="M240" s="41"/>
      <c r="N240" s="33"/>
      <c r="O240" s="34"/>
      <c r="P240" s="33"/>
      <c r="Q240" s="41"/>
      <c r="R240" s="33"/>
      <c r="S240" s="34"/>
      <c r="T240" s="33"/>
      <c r="U240" s="41"/>
      <c r="V240" s="33"/>
      <c r="W240" s="34"/>
      <c r="X240" s="33"/>
      <c r="Y240" s="41"/>
      <c r="Z240" s="33"/>
      <c r="AA240" s="34"/>
      <c r="AB240" s="33"/>
      <c r="AC240" s="41"/>
      <c r="AD240" s="33"/>
      <c r="AE240" s="34"/>
      <c r="AF240" s="33"/>
      <c r="AG240" s="41"/>
      <c r="AH240" s="33"/>
      <c r="AI240" s="34"/>
      <c r="AJ240" s="33"/>
      <c r="AK240" s="41"/>
      <c r="AL240" s="35"/>
      <c r="AM240" s="34"/>
      <c r="AN240" s="31"/>
    </row>
    <row r="241" spans="1:40" x14ac:dyDescent="0.25">
      <c r="A241" s="28" t="s">
        <v>193</v>
      </c>
      <c r="B241" s="39">
        <v>14</v>
      </c>
      <c r="D241" s="6" t="s">
        <v>83</v>
      </c>
      <c r="E241" s="40">
        <v>14</v>
      </c>
      <c r="F241" s="14" t="s">
        <v>21</v>
      </c>
      <c r="H241" s="32"/>
      <c r="I241" s="41"/>
      <c r="J241" s="33"/>
      <c r="K241" s="34"/>
      <c r="L241" s="33"/>
      <c r="M241" s="41"/>
      <c r="N241" s="33"/>
      <c r="O241" s="34"/>
      <c r="P241" s="33"/>
      <c r="Q241" s="41"/>
      <c r="R241" s="33"/>
      <c r="S241" s="34"/>
      <c r="T241" s="33"/>
      <c r="U241" s="41"/>
      <c r="V241" s="33"/>
      <c r="W241" s="34"/>
      <c r="X241" s="33"/>
      <c r="Y241" s="41"/>
      <c r="Z241" s="33"/>
      <c r="AA241" s="34"/>
      <c r="AB241" s="33"/>
      <c r="AC241" s="41"/>
      <c r="AD241" s="33"/>
      <c r="AE241" s="34"/>
      <c r="AF241" s="33"/>
      <c r="AG241" s="41"/>
      <c r="AH241" s="33"/>
      <c r="AI241" s="34"/>
      <c r="AJ241" s="33"/>
      <c r="AK241" s="41"/>
      <c r="AL241" s="35"/>
      <c r="AM241" s="34"/>
      <c r="AN241" s="31"/>
    </row>
    <row r="242" spans="1:40" x14ac:dyDescent="0.25">
      <c r="A242" s="28" t="s">
        <v>194</v>
      </c>
      <c r="B242" s="39">
        <v>10.85</v>
      </c>
      <c r="D242" s="6" t="s">
        <v>84</v>
      </c>
      <c r="E242" s="40">
        <v>10.85</v>
      </c>
      <c r="F242" s="14" t="s">
        <v>21</v>
      </c>
      <c r="H242" s="32"/>
      <c r="I242" s="41"/>
      <c r="J242" s="33"/>
      <c r="K242" s="34"/>
      <c r="L242" s="33"/>
      <c r="M242" s="41"/>
      <c r="N242" s="33"/>
      <c r="O242" s="34"/>
      <c r="P242" s="33"/>
      <c r="Q242" s="41"/>
      <c r="R242" s="33"/>
      <c r="S242" s="34"/>
      <c r="T242" s="33"/>
      <c r="U242" s="41"/>
      <c r="V242" s="33"/>
      <c r="W242" s="34"/>
      <c r="X242" s="33"/>
      <c r="Y242" s="41"/>
      <c r="Z242" s="33"/>
      <c r="AA242" s="34"/>
      <c r="AB242" s="33"/>
      <c r="AC242" s="41"/>
      <c r="AD242" s="33"/>
      <c r="AE242" s="34"/>
      <c r="AF242" s="33"/>
      <c r="AG242" s="41"/>
      <c r="AH242" s="33"/>
      <c r="AI242" s="34"/>
      <c r="AJ242" s="33"/>
      <c r="AK242" s="41"/>
      <c r="AL242" s="35"/>
      <c r="AM242" s="34"/>
      <c r="AN242" s="31"/>
    </row>
    <row r="243" spans="1:40" x14ac:dyDescent="0.25">
      <c r="A243" s="28" t="s">
        <v>195</v>
      </c>
      <c r="B243" s="39">
        <v>7.7</v>
      </c>
      <c r="D243" s="6" t="s">
        <v>85</v>
      </c>
      <c r="E243" s="40">
        <v>7.7</v>
      </c>
      <c r="F243" s="14" t="s">
        <v>21</v>
      </c>
      <c r="H243" s="32"/>
      <c r="I243" s="41"/>
      <c r="J243" s="33"/>
      <c r="K243" s="34"/>
      <c r="L243" s="33"/>
      <c r="M243" s="41"/>
      <c r="N243" s="33"/>
      <c r="O243" s="34"/>
      <c r="P243" s="33"/>
      <c r="Q243" s="41"/>
      <c r="R243" s="33"/>
      <c r="S243" s="34"/>
      <c r="T243" s="33"/>
      <c r="U243" s="41"/>
      <c r="V243" s="33"/>
      <c r="W243" s="34"/>
      <c r="X243" s="33"/>
      <c r="Y243" s="41"/>
      <c r="Z243" s="33"/>
      <c r="AA243" s="34"/>
      <c r="AB243" s="33"/>
      <c r="AC243" s="41"/>
      <c r="AD243" s="33"/>
      <c r="AE243" s="34"/>
      <c r="AF243" s="33"/>
      <c r="AG243" s="41"/>
      <c r="AH243" s="33"/>
      <c r="AI243" s="34"/>
      <c r="AJ243" s="33"/>
      <c r="AK243" s="41"/>
      <c r="AL243" s="35"/>
      <c r="AM243" s="34"/>
      <c r="AN243" s="31"/>
    </row>
    <row r="244" spans="1:40" x14ac:dyDescent="0.25">
      <c r="A244" s="28" t="s">
        <v>196</v>
      </c>
      <c r="B244" s="39">
        <v>4.55</v>
      </c>
      <c r="D244" s="6" t="s">
        <v>86</v>
      </c>
      <c r="E244" s="40">
        <v>4.55</v>
      </c>
      <c r="F244" s="14" t="s">
        <v>21</v>
      </c>
      <c r="H244" s="32"/>
      <c r="I244" s="41"/>
      <c r="J244" s="33"/>
      <c r="K244" s="34"/>
      <c r="L244" s="33"/>
      <c r="M244" s="41"/>
      <c r="N244" s="33"/>
      <c r="O244" s="34"/>
      <c r="P244" s="33"/>
      <c r="Q244" s="41"/>
      <c r="R244" s="33"/>
      <c r="S244" s="34"/>
      <c r="T244" s="33"/>
      <c r="U244" s="41"/>
      <c r="V244" s="33"/>
      <c r="W244" s="34"/>
      <c r="X244" s="33"/>
      <c r="Y244" s="41"/>
      <c r="Z244" s="33"/>
      <c r="AA244" s="34"/>
      <c r="AB244" s="33"/>
      <c r="AC244" s="41"/>
      <c r="AD244" s="33"/>
      <c r="AE244" s="34"/>
      <c r="AF244" s="33"/>
      <c r="AG244" s="41"/>
      <c r="AH244" s="33"/>
      <c r="AI244" s="34"/>
      <c r="AJ244" s="33"/>
      <c r="AK244" s="41"/>
      <c r="AL244" s="35"/>
      <c r="AM244" s="34"/>
      <c r="AN244" s="31"/>
    </row>
    <row r="245" spans="1:40" x14ac:dyDescent="0.25">
      <c r="A245" s="28" t="s">
        <v>197</v>
      </c>
      <c r="B245" s="39" t="s">
        <v>198</v>
      </c>
      <c r="D245" s="6" t="s">
        <v>87</v>
      </c>
      <c r="E245" s="40" t="s">
        <v>88</v>
      </c>
      <c r="F245" s="14" t="s">
        <v>21</v>
      </c>
      <c r="H245" s="32"/>
      <c r="I245" s="41"/>
      <c r="J245" s="33"/>
      <c r="K245" s="34"/>
      <c r="L245" s="33"/>
      <c r="M245" s="41"/>
      <c r="N245" s="33"/>
      <c r="O245" s="34"/>
      <c r="P245" s="33"/>
      <c r="Q245" s="41"/>
      <c r="R245" s="33"/>
      <c r="S245" s="34"/>
      <c r="T245" s="33"/>
      <c r="U245" s="41"/>
      <c r="V245" s="33"/>
      <c r="W245" s="34"/>
      <c r="X245" s="33"/>
      <c r="Y245" s="41"/>
      <c r="Z245" s="33"/>
      <c r="AA245" s="34"/>
      <c r="AB245" s="33"/>
      <c r="AC245" s="41"/>
      <c r="AD245" s="33"/>
      <c r="AE245" s="34"/>
      <c r="AF245" s="33"/>
      <c r="AG245" s="41"/>
      <c r="AH245" s="33"/>
      <c r="AI245" s="34"/>
      <c r="AJ245" s="33"/>
      <c r="AK245" s="41"/>
      <c r="AL245" s="35"/>
      <c r="AM245" s="34"/>
      <c r="AN245" s="31"/>
    </row>
    <row r="246" spans="1:40" x14ac:dyDescent="0.25">
      <c r="A246" s="28" t="s">
        <v>199</v>
      </c>
      <c r="B246" s="39" t="s">
        <v>90</v>
      </c>
      <c r="D246" s="6" t="s">
        <v>89</v>
      </c>
      <c r="E246" s="40" t="s">
        <v>90</v>
      </c>
      <c r="F246" s="14" t="s">
        <v>21</v>
      </c>
      <c r="H246" s="32"/>
      <c r="I246" s="41"/>
      <c r="J246" s="33"/>
      <c r="K246" s="34"/>
      <c r="L246" s="33"/>
      <c r="M246" s="41"/>
      <c r="N246" s="33"/>
      <c r="O246" s="34"/>
      <c r="P246" s="33"/>
      <c r="Q246" s="41"/>
      <c r="R246" s="33"/>
      <c r="S246" s="34"/>
      <c r="T246" s="33"/>
      <c r="U246" s="41"/>
      <c r="V246" s="33"/>
      <c r="W246" s="34"/>
      <c r="X246" s="33"/>
      <c r="Y246" s="41"/>
      <c r="Z246" s="33"/>
      <c r="AA246" s="34"/>
      <c r="AB246" s="33"/>
      <c r="AC246" s="41"/>
      <c r="AD246" s="33"/>
      <c r="AE246" s="34"/>
      <c r="AF246" s="33"/>
      <c r="AG246" s="41"/>
      <c r="AH246" s="33"/>
      <c r="AI246" s="34"/>
      <c r="AJ246" s="33"/>
      <c r="AK246" s="41"/>
      <c r="AL246" s="35"/>
      <c r="AM246" s="34"/>
      <c r="AN246" s="31"/>
    </row>
    <row r="247" spans="1:40" ht="15.75" thickBot="1" x14ac:dyDescent="0.3">
      <c r="A247" s="42" t="s">
        <v>200</v>
      </c>
      <c r="B247" s="43" t="s">
        <v>90</v>
      </c>
      <c r="C247" s="21"/>
      <c r="D247" s="44" t="s">
        <v>91</v>
      </c>
      <c r="E247" s="45" t="s">
        <v>90</v>
      </c>
      <c r="F247" s="46" t="s">
        <v>21</v>
      </c>
      <c r="G247" s="20"/>
      <c r="H247" s="47"/>
      <c r="I247" s="48"/>
      <c r="J247" s="49"/>
      <c r="K247" s="50"/>
      <c r="L247" s="49"/>
      <c r="M247" s="48"/>
      <c r="N247" s="49"/>
      <c r="O247" s="50"/>
      <c r="P247" s="49"/>
      <c r="Q247" s="48"/>
      <c r="R247" s="49"/>
      <c r="S247" s="50"/>
      <c r="T247" s="49"/>
      <c r="U247" s="48"/>
      <c r="V247" s="49"/>
      <c r="W247" s="50"/>
      <c r="X247" s="49"/>
      <c r="Y247" s="48"/>
      <c r="Z247" s="49"/>
      <c r="AA247" s="50"/>
      <c r="AB247" s="49"/>
      <c r="AC247" s="48"/>
      <c r="AD247" s="49"/>
      <c r="AE247" s="50"/>
      <c r="AF247" s="49"/>
      <c r="AG247" s="48"/>
      <c r="AH247" s="49"/>
      <c r="AI247" s="50"/>
      <c r="AJ247" s="49"/>
      <c r="AK247" s="48"/>
      <c r="AL247" s="51"/>
      <c r="AM247" s="34"/>
      <c r="AN247" s="31"/>
    </row>
    <row r="248" spans="1:40" x14ac:dyDescent="0.25">
      <c r="H248" s="31"/>
      <c r="I248" s="34"/>
      <c r="J248" s="31"/>
      <c r="K248" s="34"/>
      <c r="L248" s="31"/>
      <c r="M248" s="34"/>
      <c r="N248" s="31"/>
      <c r="O248" s="34"/>
      <c r="P248" s="31"/>
      <c r="Q248" s="34"/>
      <c r="R248" s="31"/>
      <c r="S248" s="34"/>
      <c r="T248" s="31"/>
      <c r="U248" s="34"/>
      <c r="V248" s="31"/>
      <c r="W248" s="34"/>
      <c r="X248" s="31"/>
      <c r="Y248" s="34"/>
      <c r="Z248" s="31"/>
      <c r="AA248" s="34"/>
      <c r="AB248" s="31"/>
      <c r="AC248" s="34"/>
      <c r="AD248" s="31"/>
      <c r="AE248" s="34"/>
      <c r="AF248" s="31"/>
      <c r="AG248" s="34"/>
      <c r="AH248" s="31"/>
      <c r="AI248" s="34"/>
      <c r="AJ248" s="31"/>
      <c r="AK248" s="34"/>
      <c r="AL248" s="31"/>
      <c r="AM248" s="34"/>
      <c r="AN248" s="31"/>
    </row>
    <row r="249" spans="1:40" x14ac:dyDescent="0.25">
      <c r="A249" s="17"/>
      <c r="B249" s="17"/>
      <c r="D249" s="87"/>
      <c r="E249" s="87"/>
      <c r="F249" s="87"/>
      <c r="H249" s="31"/>
      <c r="I249" s="34"/>
      <c r="J249" s="31"/>
      <c r="K249" s="34"/>
      <c r="L249" s="31"/>
      <c r="M249" s="34"/>
      <c r="N249" s="31"/>
      <c r="O249" s="34"/>
      <c r="P249" s="31"/>
      <c r="Q249" s="34"/>
      <c r="R249" s="31"/>
      <c r="S249" s="34"/>
      <c r="T249" s="31"/>
      <c r="U249" s="34"/>
      <c r="V249" s="31"/>
      <c r="W249" s="34"/>
      <c r="X249" s="31"/>
      <c r="Y249" s="34"/>
      <c r="Z249" s="31"/>
      <c r="AA249" s="34"/>
      <c r="AB249" s="31"/>
      <c r="AC249" s="34"/>
      <c r="AD249" s="31"/>
      <c r="AE249" s="34"/>
      <c r="AF249" s="31"/>
      <c r="AG249" s="34"/>
      <c r="AH249" s="31"/>
      <c r="AI249" s="34"/>
      <c r="AJ249" s="31"/>
      <c r="AK249" s="34"/>
      <c r="AL249" s="31"/>
      <c r="AM249" s="34"/>
    </row>
    <row r="250" spans="1:40" x14ac:dyDescent="0.25">
      <c r="A250" s="17"/>
      <c r="B250" s="17"/>
      <c r="D250" s="87"/>
      <c r="E250" s="87"/>
      <c r="F250" s="87"/>
    </row>
    <row r="251" spans="1:40" x14ac:dyDescent="0.25">
      <c r="A251" s="1"/>
      <c r="B251" s="17"/>
      <c r="D251" s="3"/>
      <c r="E251" s="156"/>
      <c r="F251" s="156"/>
      <c r="I251" s="17"/>
      <c r="K251" s="17"/>
      <c r="M251" s="17"/>
      <c r="O251" s="17"/>
      <c r="Q251" s="17"/>
      <c r="S251" s="17"/>
      <c r="U251" s="17"/>
      <c r="W251" s="17"/>
      <c r="Y251" s="17"/>
      <c r="AA251" s="17"/>
      <c r="AC251" s="17"/>
      <c r="AE251" s="17"/>
      <c r="AG251" s="17"/>
      <c r="AI251" s="17"/>
      <c r="AK251" s="17"/>
      <c r="AM251" s="17"/>
    </row>
    <row r="252" spans="1:40" x14ac:dyDescent="0.25">
      <c r="B252" s="17"/>
      <c r="E252" s="87"/>
      <c r="F252" s="87"/>
    </row>
    <row r="253" spans="1:40" x14ac:dyDescent="0.25">
      <c r="B253" s="17"/>
      <c r="E253" s="87"/>
      <c r="F253" s="87"/>
      <c r="I253" s="17"/>
      <c r="K253" s="17"/>
      <c r="M253" s="17"/>
      <c r="O253" s="17"/>
      <c r="Q253" s="17"/>
      <c r="S253" s="17"/>
      <c r="U253" s="17"/>
      <c r="W253" s="17"/>
      <c r="Y253" s="17"/>
      <c r="AA253" s="17"/>
      <c r="AC253" s="17"/>
      <c r="AE253" s="17"/>
      <c r="AG253" s="17"/>
      <c r="AI253" s="17"/>
      <c r="AK253" s="17"/>
      <c r="AM253" s="17"/>
    </row>
    <row r="254" spans="1:40" x14ac:dyDescent="0.25">
      <c r="B254" s="17"/>
      <c r="E254" s="87"/>
      <c r="F254" s="87"/>
    </row>
    <row r="255" spans="1:40" x14ac:dyDescent="0.25">
      <c r="B255" s="17"/>
      <c r="E255" s="87"/>
      <c r="F255" s="87"/>
      <c r="I255" s="17"/>
      <c r="K255" s="17"/>
      <c r="M255" s="17"/>
      <c r="O255" s="17"/>
      <c r="Q255" s="17"/>
      <c r="S255" s="17"/>
      <c r="U255" s="17"/>
      <c r="W255" s="17"/>
      <c r="Y255" s="17"/>
      <c r="AA255" s="17"/>
      <c r="AC255" s="17"/>
      <c r="AE255" s="17"/>
      <c r="AG255" s="17"/>
      <c r="AI255" s="17"/>
      <c r="AK255" s="17"/>
      <c r="AM255" s="17"/>
    </row>
    <row r="256" spans="1:40" x14ac:dyDescent="0.25">
      <c r="B256" s="17"/>
      <c r="E256" s="87"/>
      <c r="F256" s="87"/>
    </row>
    <row r="257" spans="2:6" x14ac:dyDescent="0.25">
      <c r="B257" s="17"/>
      <c r="E257" s="87"/>
      <c r="F257" s="87"/>
    </row>
    <row r="258" spans="2:6" x14ac:dyDescent="0.25">
      <c r="B258" s="17"/>
      <c r="E258" s="87"/>
      <c r="F258" s="87"/>
    </row>
    <row r="259" spans="2:6" x14ac:dyDescent="0.25">
      <c r="B259" s="17"/>
      <c r="E259" s="87"/>
      <c r="F259" s="87"/>
    </row>
    <row r="260" spans="2:6" x14ac:dyDescent="0.25">
      <c r="B260" s="17"/>
      <c r="E260" s="87"/>
      <c r="F260" s="87"/>
    </row>
    <row r="261" spans="2:6" x14ac:dyDescent="0.25">
      <c r="B261" s="17"/>
      <c r="E261" s="87"/>
      <c r="F261" s="87"/>
    </row>
    <row r="262" spans="2:6" x14ac:dyDescent="0.25">
      <c r="B262" s="17"/>
      <c r="E262" s="87"/>
      <c r="F262" s="87"/>
    </row>
    <row r="263" spans="2:6" x14ac:dyDescent="0.25">
      <c r="B263" s="17"/>
      <c r="E263" s="87"/>
      <c r="F263" s="87"/>
    </row>
    <row r="264" spans="2:6" x14ac:dyDescent="0.25">
      <c r="B264" s="17"/>
      <c r="E264" s="87"/>
      <c r="F264" s="87"/>
    </row>
  </sheetData>
  <mergeCells count="2161">
    <mergeCell ref="AB55:AD55"/>
    <mergeCell ref="AF55:AH55"/>
    <mergeCell ref="D143:E143"/>
    <mergeCell ref="H143:J143"/>
    <mergeCell ref="L143:N143"/>
    <mergeCell ref="H3:J3"/>
    <mergeCell ref="H4:J4"/>
    <mergeCell ref="H5:J5"/>
    <mergeCell ref="H6:J6"/>
    <mergeCell ref="A9:B9"/>
    <mergeCell ref="H9:J9"/>
    <mergeCell ref="L9:N9"/>
    <mergeCell ref="P9:R9"/>
    <mergeCell ref="T9:V9"/>
    <mergeCell ref="X9:Z9"/>
    <mergeCell ref="AB9:AD9"/>
    <mergeCell ref="AF9:AH9"/>
    <mergeCell ref="AJ9:AL9"/>
    <mergeCell ref="D9:E9"/>
    <mergeCell ref="D38:E38"/>
    <mergeCell ref="D55:E55"/>
    <mergeCell ref="D121:E121"/>
    <mergeCell ref="H121:J121"/>
    <mergeCell ref="L121:N121"/>
    <mergeCell ref="P121:R121"/>
    <mergeCell ref="T121:V121"/>
    <mergeCell ref="X121:Z121"/>
    <mergeCell ref="AB121:AD121"/>
    <mergeCell ref="AF121:AH121"/>
    <mergeCell ref="AJ121:AL121"/>
    <mergeCell ref="H55:J55"/>
    <mergeCell ref="L55:N55"/>
    <mergeCell ref="P55:R55"/>
    <mergeCell ref="T55:V55"/>
    <mergeCell ref="P139:R139"/>
    <mergeCell ref="T139:V139"/>
    <mergeCell ref="X139:Z139"/>
    <mergeCell ref="A140:B140"/>
    <mergeCell ref="AJ55:AL55"/>
    <mergeCell ref="A17:B17"/>
    <mergeCell ref="D17:E17"/>
    <mergeCell ref="H17:J17"/>
    <mergeCell ref="AF17:AH17"/>
    <mergeCell ref="AJ17:AL17"/>
    <mergeCell ref="T206:V206"/>
    <mergeCell ref="X206:Z206"/>
    <mergeCell ref="AB206:AD206"/>
    <mergeCell ref="AF206:AH206"/>
    <mergeCell ref="AJ206:AL206"/>
    <mergeCell ref="A18:B18"/>
    <mergeCell ref="D18:E18"/>
    <mergeCell ref="H18:J18"/>
    <mergeCell ref="L18:N18"/>
    <mergeCell ref="P18:R18"/>
    <mergeCell ref="T18:V18"/>
    <mergeCell ref="X18:Z18"/>
    <mergeCell ref="AB18:AD18"/>
    <mergeCell ref="AF18:AH18"/>
    <mergeCell ref="AJ18:AL18"/>
    <mergeCell ref="A144:B144"/>
    <mergeCell ref="D144:E144"/>
    <mergeCell ref="H144:J144"/>
    <mergeCell ref="L144:N144"/>
    <mergeCell ref="P144:R144"/>
    <mergeCell ref="T144:V144"/>
    <mergeCell ref="X144:Z144"/>
    <mergeCell ref="T129:V129"/>
    <mergeCell ref="X129:Z129"/>
    <mergeCell ref="D128:E128"/>
    <mergeCell ref="H128:J128"/>
    <mergeCell ref="P143:R143"/>
    <mergeCell ref="T143:V143"/>
    <mergeCell ref="X143:Z143"/>
    <mergeCell ref="AB143:AD143"/>
    <mergeCell ref="AF143:AH143"/>
    <mergeCell ref="AJ143:AL143"/>
    <mergeCell ref="A138:B138"/>
    <mergeCell ref="D138:E138"/>
    <mergeCell ref="H138:J138"/>
    <mergeCell ref="L138:N138"/>
    <mergeCell ref="P138:R138"/>
    <mergeCell ref="T138:V138"/>
    <mergeCell ref="X138:Z138"/>
    <mergeCell ref="AB139:AD139"/>
    <mergeCell ref="AB140:AD140"/>
    <mergeCell ref="A142:B142"/>
    <mergeCell ref="D142:E142"/>
    <mergeCell ref="H142:J142"/>
    <mergeCell ref="L142:N142"/>
    <mergeCell ref="P142:R142"/>
    <mergeCell ref="T142:V142"/>
    <mergeCell ref="X142:Z142"/>
    <mergeCell ref="AB142:AD142"/>
    <mergeCell ref="AF142:AH142"/>
    <mergeCell ref="AJ142:AL142"/>
    <mergeCell ref="D139:E139"/>
    <mergeCell ref="H139:J139"/>
    <mergeCell ref="L139:N139"/>
    <mergeCell ref="T134:V134"/>
    <mergeCell ref="X134:Z134"/>
    <mergeCell ref="AB134:AD134"/>
    <mergeCell ref="AF134:AH134"/>
    <mergeCell ref="AJ134:AL134"/>
    <mergeCell ref="AB122:AD122"/>
    <mergeCell ref="AF122:AH122"/>
    <mergeCell ref="A137:B137"/>
    <mergeCell ref="D137:E137"/>
    <mergeCell ref="P127:R127"/>
    <mergeCell ref="T127:V127"/>
    <mergeCell ref="X127:Z127"/>
    <mergeCell ref="AB127:AD127"/>
    <mergeCell ref="AF127:AH127"/>
    <mergeCell ref="AJ127:AL127"/>
    <mergeCell ref="AJ139:AL139"/>
    <mergeCell ref="AJ140:AL140"/>
    <mergeCell ref="AJ128:AL128"/>
    <mergeCell ref="AJ129:AL129"/>
    <mergeCell ref="A135:B135"/>
    <mergeCell ref="D135:E135"/>
    <mergeCell ref="H135:J135"/>
    <mergeCell ref="L135:N135"/>
    <mergeCell ref="P135:R135"/>
    <mergeCell ref="T135:V135"/>
    <mergeCell ref="X135:Z135"/>
    <mergeCell ref="AJ130:AL130"/>
    <mergeCell ref="AJ131:AL131"/>
    <mergeCell ref="AJ132:AL132"/>
    <mergeCell ref="AJ136:AL136"/>
    <mergeCell ref="X130:Z130"/>
    <mergeCell ref="D129:E129"/>
    <mergeCell ref="L211:N211"/>
    <mergeCell ref="P211:R211"/>
    <mergeCell ref="T211:V211"/>
    <mergeCell ref="X211:Z211"/>
    <mergeCell ref="AB211:AD211"/>
    <mergeCell ref="AF211:AH211"/>
    <mergeCell ref="AJ211:AL211"/>
    <mergeCell ref="A206:B206"/>
    <mergeCell ref="D206:E206"/>
    <mergeCell ref="H206:J206"/>
    <mergeCell ref="L206:N206"/>
    <mergeCell ref="P206:R206"/>
    <mergeCell ref="AF212:AH212"/>
    <mergeCell ref="AF205:AH205"/>
    <mergeCell ref="P118:R118"/>
    <mergeCell ref="T118:V118"/>
    <mergeCell ref="X118:Z118"/>
    <mergeCell ref="AB118:AD118"/>
    <mergeCell ref="AF118:AH118"/>
    <mergeCell ref="AJ118:AL118"/>
    <mergeCell ref="H137:J137"/>
    <mergeCell ref="L137:N137"/>
    <mergeCell ref="P137:R137"/>
    <mergeCell ref="T137:V137"/>
    <mergeCell ref="X137:Z137"/>
    <mergeCell ref="AB137:AD137"/>
    <mergeCell ref="AF137:AH137"/>
    <mergeCell ref="AJ137:AL137"/>
    <mergeCell ref="D134:E134"/>
    <mergeCell ref="H134:J134"/>
    <mergeCell ref="L134:N134"/>
    <mergeCell ref="P134:R134"/>
    <mergeCell ref="AJ180:AL180"/>
    <mergeCell ref="D230:E230"/>
    <mergeCell ref="H230:J230"/>
    <mergeCell ref="L230:N230"/>
    <mergeCell ref="P230:R230"/>
    <mergeCell ref="T230:V230"/>
    <mergeCell ref="X230:Z230"/>
    <mergeCell ref="AB230:AD230"/>
    <mergeCell ref="AF230:AH230"/>
    <mergeCell ref="AJ230:AL230"/>
    <mergeCell ref="A205:B205"/>
    <mergeCell ref="D205:E205"/>
    <mergeCell ref="H205:J205"/>
    <mergeCell ref="L205:N205"/>
    <mergeCell ref="P205:R205"/>
    <mergeCell ref="T205:V205"/>
    <mergeCell ref="X205:Z205"/>
    <mergeCell ref="AB205:AD205"/>
    <mergeCell ref="AJ205:AL205"/>
    <mergeCell ref="A213:B213"/>
    <mergeCell ref="D213:E213"/>
    <mergeCell ref="H213:J213"/>
    <mergeCell ref="L213:N213"/>
    <mergeCell ref="P213:R213"/>
    <mergeCell ref="T213:V213"/>
    <mergeCell ref="X213:Z213"/>
    <mergeCell ref="AB213:AD213"/>
    <mergeCell ref="AF213:AH213"/>
    <mergeCell ref="AJ213:AL213"/>
    <mergeCell ref="A211:B211"/>
    <mergeCell ref="D211:E211"/>
    <mergeCell ref="H211:J211"/>
    <mergeCell ref="A200:B200"/>
    <mergeCell ref="D200:E200"/>
    <mergeCell ref="H200:J200"/>
    <mergeCell ref="L200:N200"/>
    <mergeCell ref="P200:R200"/>
    <mergeCell ref="T200:V200"/>
    <mergeCell ref="H178:J178"/>
    <mergeCell ref="L178:N178"/>
    <mergeCell ref="P178:R178"/>
    <mergeCell ref="T178:V178"/>
    <mergeCell ref="X178:Z178"/>
    <mergeCell ref="AB178:AD178"/>
    <mergeCell ref="AF178:AH178"/>
    <mergeCell ref="AJ178:AL178"/>
    <mergeCell ref="A149:B149"/>
    <mergeCell ref="D149:E149"/>
    <mergeCell ref="H149:J149"/>
    <mergeCell ref="L149:N149"/>
    <mergeCell ref="P149:R149"/>
    <mergeCell ref="T149:V149"/>
    <mergeCell ref="X149:Z149"/>
    <mergeCell ref="AB149:AD149"/>
    <mergeCell ref="AF149:AH149"/>
    <mergeCell ref="AJ149:AL149"/>
    <mergeCell ref="D155:E155"/>
    <mergeCell ref="H155:J155"/>
    <mergeCell ref="L155:N155"/>
    <mergeCell ref="P155:R155"/>
    <mergeCell ref="T155:V155"/>
    <mergeCell ref="X155:Z155"/>
    <mergeCell ref="AB155:AD155"/>
    <mergeCell ref="AF155:AH155"/>
    <mergeCell ref="A202:B202"/>
    <mergeCell ref="D202:E202"/>
    <mergeCell ref="H202:J202"/>
    <mergeCell ref="L202:N202"/>
    <mergeCell ref="P202:R202"/>
    <mergeCell ref="T202:V202"/>
    <mergeCell ref="X202:Z202"/>
    <mergeCell ref="AB202:AD202"/>
    <mergeCell ref="AF202:AH202"/>
    <mergeCell ref="AJ202:AL202"/>
    <mergeCell ref="A201:B201"/>
    <mergeCell ref="D201:E201"/>
    <mergeCell ref="H201:J201"/>
    <mergeCell ref="L201:N201"/>
    <mergeCell ref="P201:R201"/>
    <mergeCell ref="T201:V201"/>
    <mergeCell ref="X201:Z201"/>
    <mergeCell ref="AB201:AD201"/>
    <mergeCell ref="AF201:AH201"/>
    <mergeCell ref="AJ201:AL201"/>
    <mergeCell ref="A198:B198"/>
    <mergeCell ref="D198:E198"/>
    <mergeCell ref="H198:J198"/>
    <mergeCell ref="L198:N198"/>
    <mergeCell ref="P198:R198"/>
    <mergeCell ref="T198:V198"/>
    <mergeCell ref="X198:Z198"/>
    <mergeCell ref="AB198:AD198"/>
    <mergeCell ref="AF198:AH198"/>
    <mergeCell ref="AJ198:AL198"/>
    <mergeCell ref="D199:E199"/>
    <mergeCell ref="H199:J199"/>
    <mergeCell ref="L199:N199"/>
    <mergeCell ref="P199:R199"/>
    <mergeCell ref="T199:V199"/>
    <mergeCell ref="X199:Z199"/>
    <mergeCell ref="AB199:AD199"/>
    <mergeCell ref="AF199:AH199"/>
    <mergeCell ref="AJ199:AL199"/>
    <mergeCell ref="H195:J195"/>
    <mergeCell ref="L195:N195"/>
    <mergeCell ref="P195:R195"/>
    <mergeCell ref="T195:V195"/>
    <mergeCell ref="X195:Z195"/>
    <mergeCell ref="AB195:AD195"/>
    <mergeCell ref="AF195:AH195"/>
    <mergeCell ref="AJ195:AL195"/>
    <mergeCell ref="X200:Z200"/>
    <mergeCell ref="AB200:AD200"/>
    <mergeCell ref="AF200:AH200"/>
    <mergeCell ref="AJ200:AL200"/>
    <mergeCell ref="D197:E197"/>
    <mergeCell ref="H197:J197"/>
    <mergeCell ref="L197:N197"/>
    <mergeCell ref="P197:R197"/>
    <mergeCell ref="T197:V197"/>
    <mergeCell ref="X197:Z197"/>
    <mergeCell ref="AB197:AD197"/>
    <mergeCell ref="AF197:AH197"/>
    <mergeCell ref="AJ197:AL197"/>
    <mergeCell ref="A196:B196"/>
    <mergeCell ref="D196:E196"/>
    <mergeCell ref="H196:J196"/>
    <mergeCell ref="L196:N196"/>
    <mergeCell ref="P196:R196"/>
    <mergeCell ref="T196:V196"/>
    <mergeCell ref="X196:Z196"/>
    <mergeCell ref="AB196:AD196"/>
    <mergeCell ref="AF196:AH196"/>
    <mergeCell ref="AJ196:AL196"/>
    <mergeCell ref="A193:B193"/>
    <mergeCell ref="D193:E193"/>
    <mergeCell ref="H193:J193"/>
    <mergeCell ref="L193:N193"/>
    <mergeCell ref="P193:R193"/>
    <mergeCell ref="T193:V193"/>
    <mergeCell ref="X193:Z193"/>
    <mergeCell ref="AB193:AD193"/>
    <mergeCell ref="AF193:AH193"/>
    <mergeCell ref="AJ193:AL193"/>
    <mergeCell ref="A194:B194"/>
    <mergeCell ref="D194:E194"/>
    <mergeCell ref="H194:J194"/>
    <mergeCell ref="L194:N194"/>
    <mergeCell ref="P194:R194"/>
    <mergeCell ref="T194:V194"/>
    <mergeCell ref="X194:Z194"/>
    <mergeCell ref="AB194:AD194"/>
    <mergeCell ref="AF194:AH194"/>
    <mergeCell ref="AJ194:AL194"/>
    <mergeCell ref="A195:B195"/>
    <mergeCell ref="D195:E195"/>
    <mergeCell ref="A191:B191"/>
    <mergeCell ref="D191:E191"/>
    <mergeCell ref="H191:J191"/>
    <mergeCell ref="L191:N191"/>
    <mergeCell ref="P191:R191"/>
    <mergeCell ref="T191:V191"/>
    <mergeCell ref="X191:Z191"/>
    <mergeCell ref="AB191:AD191"/>
    <mergeCell ref="AF191:AH191"/>
    <mergeCell ref="AJ191:AL191"/>
    <mergeCell ref="D192:E192"/>
    <mergeCell ref="H192:J192"/>
    <mergeCell ref="L192:N192"/>
    <mergeCell ref="P192:R192"/>
    <mergeCell ref="T192:V192"/>
    <mergeCell ref="X192:Z192"/>
    <mergeCell ref="AB192:AD192"/>
    <mergeCell ref="AF192:AH192"/>
    <mergeCell ref="AJ192:AL192"/>
    <mergeCell ref="A189:B189"/>
    <mergeCell ref="D189:E189"/>
    <mergeCell ref="H189:J189"/>
    <mergeCell ref="L189:N189"/>
    <mergeCell ref="P189:R189"/>
    <mergeCell ref="T189:V189"/>
    <mergeCell ref="X189:Z189"/>
    <mergeCell ref="AB189:AD189"/>
    <mergeCell ref="AF189:AH189"/>
    <mergeCell ref="AJ189:AL189"/>
    <mergeCell ref="D190:E190"/>
    <mergeCell ref="H190:J190"/>
    <mergeCell ref="L190:N190"/>
    <mergeCell ref="P190:R190"/>
    <mergeCell ref="T190:V190"/>
    <mergeCell ref="X190:Z190"/>
    <mergeCell ref="AB190:AD190"/>
    <mergeCell ref="AF190:AH190"/>
    <mergeCell ref="AJ190:AL190"/>
    <mergeCell ref="A185:B185"/>
    <mergeCell ref="D185:E185"/>
    <mergeCell ref="A186:B186"/>
    <mergeCell ref="D186:E186"/>
    <mergeCell ref="H186:J186"/>
    <mergeCell ref="L186:N186"/>
    <mergeCell ref="P186:R186"/>
    <mergeCell ref="T186:V186"/>
    <mergeCell ref="X186:Z186"/>
    <mergeCell ref="AB186:AD186"/>
    <mergeCell ref="AF186:AH186"/>
    <mergeCell ref="AJ186:AL186"/>
    <mergeCell ref="D188:E188"/>
    <mergeCell ref="H188:J188"/>
    <mergeCell ref="L188:N188"/>
    <mergeCell ref="P188:R188"/>
    <mergeCell ref="T188:V188"/>
    <mergeCell ref="X188:Z188"/>
    <mergeCell ref="AB188:AD188"/>
    <mergeCell ref="AF188:AH188"/>
    <mergeCell ref="AJ188:AL188"/>
    <mergeCell ref="X151:Z151"/>
    <mergeCell ref="AB151:AD151"/>
    <mergeCell ref="AF151:AH151"/>
    <mergeCell ref="AJ151:AL151"/>
    <mergeCell ref="A152:B152"/>
    <mergeCell ref="D152:E152"/>
    <mergeCell ref="H152:J152"/>
    <mergeCell ref="L152:N152"/>
    <mergeCell ref="P152:R152"/>
    <mergeCell ref="T152:V152"/>
    <mergeCell ref="X152:Z152"/>
    <mergeCell ref="AB152:AD152"/>
    <mergeCell ref="A156:B156"/>
    <mergeCell ref="D156:E156"/>
    <mergeCell ref="D183:E183"/>
    <mergeCell ref="H183:J183"/>
    <mergeCell ref="L183:N183"/>
    <mergeCell ref="P183:R183"/>
    <mergeCell ref="T183:V183"/>
    <mergeCell ref="X183:Z183"/>
    <mergeCell ref="AB183:AD183"/>
    <mergeCell ref="AF183:AH183"/>
    <mergeCell ref="AJ183:AL183"/>
    <mergeCell ref="L156:N156"/>
    <mergeCell ref="P156:R156"/>
    <mergeCell ref="A180:B180"/>
    <mergeCell ref="D180:E180"/>
    <mergeCell ref="H180:J180"/>
    <mergeCell ref="L180:N180"/>
    <mergeCell ref="P180:R180"/>
    <mergeCell ref="T180:V180"/>
    <mergeCell ref="X180:Z180"/>
    <mergeCell ref="AJ176:AL176"/>
    <mergeCell ref="A173:B173"/>
    <mergeCell ref="D173:E173"/>
    <mergeCell ref="H173:J173"/>
    <mergeCell ref="L173:N173"/>
    <mergeCell ref="P173:R173"/>
    <mergeCell ref="T173:V173"/>
    <mergeCell ref="X173:Z173"/>
    <mergeCell ref="AB173:AD173"/>
    <mergeCell ref="AF173:AH173"/>
    <mergeCell ref="AJ173:AL173"/>
    <mergeCell ref="A174:B174"/>
    <mergeCell ref="D174:E174"/>
    <mergeCell ref="H174:J174"/>
    <mergeCell ref="T174:V174"/>
    <mergeCell ref="X174:Z174"/>
    <mergeCell ref="AB174:AD174"/>
    <mergeCell ref="AF174:AH174"/>
    <mergeCell ref="AJ174:AL174"/>
    <mergeCell ref="D148:E148"/>
    <mergeCell ref="H148:J148"/>
    <mergeCell ref="L148:N148"/>
    <mergeCell ref="P148:R148"/>
    <mergeCell ref="T148:V148"/>
    <mergeCell ref="X148:Z148"/>
    <mergeCell ref="AB148:AD148"/>
    <mergeCell ref="AF148:AH148"/>
    <mergeCell ref="AJ148:AL148"/>
    <mergeCell ref="X158:Z158"/>
    <mergeCell ref="D167:E167"/>
    <mergeCell ref="H167:J167"/>
    <mergeCell ref="L167:N167"/>
    <mergeCell ref="P167:R167"/>
    <mergeCell ref="T167:V167"/>
    <mergeCell ref="X167:Z167"/>
    <mergeCell ref="D168:E168"/>
    <mergeCell ref="H168:J168"/>
    <mergeCell ref="L168:N168"/>
    <mergeCell ref="P168:R168"/>
    <mergeCell ref="T168:V168"/>
    <mergeCell ref="X168:Z168"/>
    <mergeCell ref="T156:V156"/>
    <mergeCell ref="X156:Z156"/>
    <mergeCell ref="AB156:AD156"/>
    <mergeCell ref="AF156:AH156"/>
    <mergeCell ref="AJ156:AL156"/>
    <mergeCell ref="D151:E151"/>
    <mergeCell ref="H151:J151"/>
    <mergeCell ref="L151:N151"/>
    <mergeCell ref="P151:R151"/>
    <mergeCell ref="T151:V151"/>
    <mergeCell ref="A158:B158"/>
    <mergeCell ref="D158:E158"/>
    <mergeCell ref="H158:J158"/>
    <mergeCell ref="L158:N158"/>
    <mergeCell ref="P158:R158"/>
    <mergeCell ref="T158:V158"/>
    <mergeCell ref="X171:Z171"/>
    <mergeCell ref="AB171:AD171"/>
    <mergeCell ref="AF171:AH171"/>
    <mergeCell ref="AJ171:AL171"/>
    <mergeCell ref="AF152:AH152"/>
    <mergeCell ref="AJ152:AL152"/>
    <mergeCell ref="L159:N159"/>
    <mergeCell ref="P159:R159"/>
    <mergeCell ref="T159:V159"/>
    <mergeCell ref="X159:Z159"/>
    <mergeCell ref="A160:B160"/>
    <mergeCell ref="AJ155:AL155"/>
    <mergeCell ref="H156:J156"/>
    <mergeCell ref="D169:E169"/>
    <mergeCell ref="L171:N171"/>
    <mergeCell ref="P171:R171"/>
    <mergeCell ref="T171:V171"/>
    <mergeCell ref="A167:B167"/>
    <mergeCell ref="A168:B168"/>
    <mergeCell ref="A169:B169"/>
    <mergeCell ref="D216:E216"/>
    <mergeCell ref="H216:J216"/>
    <mergeCell ref="L216:N216"/>
    <mergeCell ref="P216:R216"/>
    <mergeCell ref="T216:V216"/>
    <mergeCell ref="X216:Z216"/>
    <mergeCell ref="AB216:AD216"/>
    <mergeCell ref="AF216:AH216"/>
    <mergeCell ref="AJ216:AL216"/>
    <mergeCell ref="A141:B141"/>
    <mergeCell ref="D141:E141"/>
    <mergeCell ref="H141:J141"/>
    <mergeCell ref="L141:N141"/>
    <mergeCell ref="P141:R141"/>
    <mergeCell ref="T141:V141"/>
    <mergeCell ref="X141:Z141"/>
    <mergeCell ref="AB141:AD141"/>
    <mergeCell ref="AF141:AH141"/>
    <mergeCell ref="AJ141:AL141"/>
    <mergeCell ref="X215:Z215"/>
    <mergeCell ref="T209:V209"/>
    <mergeCell ref="X209:Z209"/>
    <mergeCell ref="H210:J210"/>
    <mergeCell ref="L210:N210"/>
    <mergeCell ref="P210:R210"/>
    <mergeCell ref="AJ145:AL145"/>
    <mergeCell ref="AJ207:AL207"/>
    <mergeCell ref="AJ208:AL208"/>
    <mergeCell ref="AJ209:AL209"/>
    <mergeCell ref="AJ210:AL210"/>
    <mergeCell ref="AJ212:AL212"/>
    <mergeCell ref="D150:E150"/>
    <mergeCell ref="AJ224:AL224"/>
    <mergeCell ref="AJ225:AL225"/>
    <mergeCell ref="AJ226:AL226"/>
    <mergeCell ref="AJ227:AL227"/>
    <mergeCell ref="AJ228:AL228"/>
    <mergeCell ref="AJ229:AL229"/>
    <mergeCell ref="AJ231:AL231"/>
    <mergeCell ref="AJ234:AL234"/>
    <mergeCell ref="AJ235:AL235"/>
    <mergeCell ref="AJ214:AL214"/>
    <mergeCell ref="AJ215:AL215"/>
    <mergeCell ref="AJ217:AL217"/>
    <mergeCell ref="AJ218:AL218"/>
    <mergeCell ref="AJ219:AL219"/>
    <mergeCell ref="AJ220:AL220"/>
    <mergeCell ref="AJ221:AL221"/>
    <mergeCell ref="AJ222:AL222"/>
    <mergeCell ref="AJ223:AL223"/>
    <mergeCell ref="AJ157:AL157"/>
    <mergeCell ref="AJ158:AL158"/>
    <mergeCell ref="AJ167:AL167"/>
    <mergeCell ref="AJ168:AL168"/>
    <mergeCell ref="AJ138:AL138"/>
    <mergeCell ref="AJ133:AL133"/>
    <mergeCell ref="AJ175:AL175"/>
    <mergeCell ref="AJ111:AL111"/>
    <mergeCell ref="AJ112:AL112"/>
    <mergeCell ref="AJ113:AL113"/>
    <mergeCell ref="AJ114:AL114"/>
    <mergeCell ref="AJ115:AL115"/>
    <mergeCell ref="AJ116:AL116"/>
    <mergeCell ref="AJ117:AL117"/>
    <mergeCell ref="AJ119:AL119"/>
    <mergeCell ref="AJ120:AL120"/>
    <mergeCell ref="AJ162:AL162"/>
    <mergeCell ref="AJ159:AL159"/>
    <mergeCell ref="AJ126:AL126"/>
    <mergeCell ref="AJ144:AL144"/>
    <mergeCell ref="AJ122:AL122"/>
    <mergeCell ref="AJ135:AL135"/>
    <mergeCell ref="AJ125:AL125"/>
    <mergeCell ref="AJ160:AL160"/>
    <mergeCell ref="AJ150:AL150"/>
    <mergeCell ref="AJ172:AL172"/>
    <mergeCell ref="AJ100:AL100"/>
    <mergeCell ref="AJ101:AL101"/>
    <mergeCell ref="AJ102:AL102"/>
    <mergeCell ref="AJ103:AL103"/>
    <mergeCell ref="AJ104:AL104"/>
    <mergeCell ref="AJ105:AL105"/>
    <mergeCell ref="AJ106:AL106"/>
    <mergeCell ref="AJ107:AL107"/>
    <mergeCell ref="AJ108:AL108"/>
    <mergeCell ref="AJ84:AL84"/>
    <mergeCell ref="AJ85:AL85"/>
    <mergeCell ref="AJ87:AL87"/>
    <mergeCell ref="AJ88:AL88"/>
    <mergeCell ref="AJ89:AL89"/>
    <mergeCell ref="AJ90:AL90"/>
    <mergeCell ref="AJ94:AL94"/>
    <mergeCell ref="AJ96:AL96"/>
    <mergeCell ref="AJ97:AL97"/>
    <mergeCell ref="AJ98:AL98"/>
    <mergeCell ref="AJ72:AL72"/>
    <mergeCell ref="AJ73:AL73"/>
    <mergeCell ref="AJ76:AL76"/>
    <mergeCell ref="AJ77:AL77"/>
    <mergeCell ref="AJ78:AL78"/>
    <mergeCell ref="AJ79:AL79"/>
    <mergeCell ref="AJ81:AL81"/>
    <mergeCell ref="AJ82:AL82"/>
    <mergeCell ref="AJ83:AL83"/>
    <mergeCell ref="AJ95:AL95"/>
    <mergeCell ref="AJ86:AL86"/>
    <mergeCell ref="AJ80:AL80"/>
    <mergeCell ref="AJ63:AL63"/>
    <mergeCell ref="AJ64:AL64"/>
    <mergeCell ref="AJ65:AL65"/>
    <mergeCell ref="AJ66:AL66"/>
    <mergeCell ref="AJ67:AL67"/>
    <mergeCell ref="AJ68:AL68"/>
    <mergeCell ref="AJ69:AL69"/>
    <mergeCell ref="AJ70:AL70"/>
    <mergeCell ref="AJ71:AL71"/>
    <mergeCell ref="AJ93:AL93"/>
    <mergeCell ref="AJ52:AL52"/>
    <mergeCell ref="AJ53:AL53"/>
    <mergeCell ref="AJ56:AL56"/>
    <mergeCell ref="AJ57:AL57"/>
    <mergeCell ref="AJ58:AL58"/>
    <mergeCell ref="AJ59:AL59"/>
    <mergeCell ref="AJ60:AL60"/>
    <mergeCell ref="AJ61:AL61"/>
    <mergeCell ref="AJ62:AL62"/>
    <mergeCell ref="AJ42:AL42"/>
    <mergeCell ref="AJ43:AL43"/>
    <mergeCell ref="AJ44:AL44"/>
    <mergeCell ref="AJ45:AL45"/>
    <mergeCell ref="AJ46:AL46"/>
    <mergeCell ref="AJ47:AL47"/>
    <mergeCell ref="AJ49:AL49"/>
    <mergeCell ref="AJ50:AL50"/>
    <mergeCell ref="AJ51:AL51"/>
    <mergeCell ref="AJ48:AL48"/>
    <mergeCell ref="AJ54:AL54"/>
    <mergeCell ref="AJ30:AL30"/>
    <mergeCell ref="AJ31:AL31"/>
    <mergeCell ref="AJ32:AL32"/>
    <mergeCell ref="AJ33:AL33"/>
    <mergeCell ref="AJ34:AL34"/>
    <mergeCell ref="AJ35:AL35"/>
    <mergeCell ref="AJ39:AL39"/>
    <mergeCell ref="AJ40:AL40"/>
    <mergeCell ref="AJ41:AL41"/>
    <mergeCell ref="AJ19:AL19"/>
    <mergeCell ref="AJ20:AL20"/>
    <mergeCell ref="AJ23:AL23"/>
    <mergeCell ref="AJ24:AL24"/>
    <mergeCell ref="AJ25:AL25"/>
    <mergeCell ref="AJ26:AL26"/>
    <mergeCell ref="AJ27:AL27"/>
    <mergeCell ref="AJ28:AL28"/>
    <mergeCell ref="AJ29:AL29"/>
    <mergeCell ref="AJ8:AL8"/>
    <mergeCell ref="AJ10:AL10"/>
    <mergeCell ref="AJ11:AL11"/>
    <mergeCell ref="AJ12:AL12"/>
    <mergeCell ref="AJ13:AL13"/>
    <mergeCell ref="AJ14:AL14"/>
    <mergeCell ref="AJ16:AL16"/>
    <mergeCell ref="AF224:AH224"/>
    <mergeCell ref="AF225:AH225"/>
    <mergeCell ref="AF226:AH226"/>
    <mergeCell ref="AF227:AH227"/>
    <mergeCell ref="AF228:AH228"/>
    <mergeCell ref="AF229:AH229"/>
    <mergeCell ref="AF231:AH231"/>
    <mergeCell ref="AF234:AH234"/>
    <mergeCell ref="AF235:AH235"/>
    <mergeCell ref="AF214:AH214"/>
    <mergeCell ref="AF215:AH215"/>
    <mergeCell ref="AF217:AH217"/>
    <mergeCell ref="AF218:AH218"/>
    <mergeCell ref="AF219:AH219"/>
    <mergeCell ref="AF220:AH220"/>
    <mergeCell ref="AF221:AH221"/>
    <mergeCell ref="AF222:AH222"/>
    <mergeCell ref="AF223:AH223"/>
    <mergeCell ref="AF139:AH139"/>
    <mergeCell ref="AF140:AH140"/>
    <mergeCell ref="AF145:AH145"/>
    <mergeCell ref="AF207:AH207"/>
    <mergeCell ref="AF208:AH208"/>
    <mergeCell ref="AF209:AH209"/>
    <mergeCell ref="AF210:AH210"/>
    <mergeCell ref="AF125:AH125"/>
    <mergeCell ref="AF126:AH126"/>
    <mergeCell ref="AF128:AH128"/>
    <mergeCell ref="AF129:AH129"/>
    <mergeCell ref="AF130:AH130"/>
    <mergeCell ref="AF131:AH131"/>
    <mergeCell ref="AF132:AH132"/>
    <mergeCell ref="AF136:AH136"/>
    <mergeCell ref="AF157:AH157"/>
    <mergeCell ref="AF158:AH158"/>
    <mergeCell ref="AF167:AH167"/>
    <mergeCell ref="AF168:AH168"/>
    <mergeCell ref="AF138:AH138"/>
    <mergeCell ref="AF133:AH133"/>
    <mergeCell ref="AF175:AH175"/>
    <mergeCell ref="AF187:AH187"/>
    <mergeCell ref="AF159:AH159"/>
    <mergeCell ref="AF144:AH144"/>
    <mergeCell ref="AF135:AH135"/>
    <mergeCell ref="AF160:AH160"/>
    <mergeCell ref="AF150:AH150"/>
    <mergeCell ref="AF179:AH179"/>
    <mergeCell ref="AF172:AH172"/>
    <mergeCell ref="AF176:AH176"/>
    <mergeCell ref="AF180:AH180"/>
    <mergeCell ref="AF111:AH111"/>
    <mergeCell ref="AF112:AH112"/>
    <mergeCell ref="AF113:AH113"/>
    <mergeCell ref="AF114:AH114"/>
    <mergeCell ref="AF115:AH115"/>
    <mergeCell ref="AF116:AH116"/>
    <mergeCell ref="AF117:AH117"/>
    <mergeCell ref="AF119:AH119"/>
    <mergeCell ref="AF120:AH120"/>
    <mergeCell ref="AF100:AH100"/>
    <mergeCell ref="AF101:AH101"/>
    <mergeCell ref="AF102:AH102"/>
    <mergeCell ref="AF103:AH103"/>
    <mergeCell ref="AF104:AH104"/>
    <mergeCell ref="AF105:AH105"/>
    <mergeCell ref="AF106:AH106"/>
    <mergeCell ref="AF107:AH107"/>
    <mergeCell ref="AF108:AH108"/>
    <mergeCell ref="AF84:AH84"/>
    <mergeCell ref="AF85:AH85"/>
    <mergeCell ref="AF87:AH87"/>
    <mergeCell ref="AF88:AH88"/>
    <mergeCell ref="AF89:AH89"/>
    <mergeCell ref="AF90:AH90"/>
    <mergeCell ref="AF94:AH94"/>
    <mergeCell ref="AF96:AH96"/>
    <mergeCell ref="AF97:AH97"/>
    <mergeCell ref="AF72:AH72"/>
    <mergeCell ref="AF73:AH73"/>
    <mergeCell ref="AF76:AH76"/>
    <mergeCell ref="AF77:AH77"/>
    <mergeCell ref="AF78:AH78"/>
    <mergeCell ref="AF79:AH79"/>
    <mergeCell ref="AF81:AH81"/>
    <mergeCell ref="AF82:AH82"/>
    <mergeCell ref="AF83:AH83"/>
    <mergeCell ref="AF95:AH95"/>
    <mergeCell ref="AF86:AH86"/>
    <mergeCell ref="AF80:AH80"/>
    <mergeCell ref="AF93:AH93"/>
    <mergeCell ref="AF63:AH63"/>
    <mergeCell ref="AF64:AH64"/>
    <mergeCell ref="AF65:AH65"/>
    <mergeCell ref="AF66:AH66"/>
    <mergeCell ref="AF67:AH67"/>
    <mergeCell ref="AF68:AH68"/>
    <mergeCell ref="AF69:AH69"/>
    <mergeCell ref="AF70:AH70"/>
    <mergeCell ref="AF71:AH71"/>
    <mergeCell ref="AF52:AH52"/>
    <mergeCell ref="AF53:AH53"/>
    <mergeCell ref="AF56:AH56"/>
    <mergeCell ref="AF57:AH57"/>
    <mergeCell ref="AF58:AH58"/>
    <mergeCell ref="AF59:AH59"/>
    <mergeCell ref="AF60:AH60"/>
    <mergeCell ref="AF61:AH61"/>
    <mergeCell ref="AF62:AH62"/>
    <mergeCell ref="AF54:AH54"/>
    <mergeCell ref="AF42:AH42"/>
    <mergeCell ref="AF43:AH43"/>
    <mergeCell ref="AF44:AH44"/>
    <mergeCell ref="AF45:AH45"/>
    <mergeCell ref="AF46:AH46"/>
    <mergeCell ref="AF47:AH47"/>
    <mergeCell ref="AF49:AH49"/>
    <mergeCell ref="AF50:AH50"/>
    <mergeCell ref="AF51:AH51"/>
    <mergeCell ref="AF48:AH48"/>
    <mergeCell ref="AF30:AH30"/>
    <mergeCell ref="AF31:AH31"/>
    <mergeCell ref="AF32:AH32"/>
    <mergeCell ref="AF33:AH33"/>
    <mergeCell ref="AF34:AH34"/>
    <mergeCell ref="AF35:AH35"/>
    <mergeCell ref="AF39:AH39"/>
    <mergeCell ref="AF40:AH40"/>
    <mergeCell ref="AF41:AH41"/>
    <mergeCell ref="AF19:AH19"/>
    <mergeCell ref="AF20:AH20"/>
    <mergeCell ref="AF23:AH23"/>
    <mergeCell ref="AF24:AH24"/>
    <mergeCell ref="AF25:AH25"/>
    <mergeCell ref="AF26:AH26"/>
    <mergeCell ref="AF27:AH27"/>
    <mergeCell ref="AF28:AH28"/>
    <mergeCell ref="AF29:AH29"/>
    <mergeCell ref="AF8:AH8"/>
    <mergeCell ref="AF10:AH10"/>
    <mergeCell ref="AF11:AH11"/>
    <mergeCell ref="AF12:AH12"/>
    <mergeCell ref="AF13:AH13"/>
    <mergeCell ref="AF14:AH14"/>
    <mergeCell ref="AF16:AH16"/>
    <mergeCell ref="AB224:AD224"/>
    <mergeCell ref="AB145:AD145"/>
    <mergeCell ref="AB207:AD207"/>
    <mergeCell ref="AB208:AD208"/>
    <mergeCell ref="AB209:AD209"/>
    <mergeCell ref="AB210:AD210"/>
    <mergeCell ref="AB212:AD212"/>
    <mergeCell ref="AB125:AD125"/>
    <mergeCell ref="AB126:AD126"/>
    <mergeCell ref="AB128:AD128"/>
    <mergeCell ref="AB129:AD129"/>
    <mergeCell ref="AB130:AD130"/>
    <mergeCell ref="AB131:AD131"/>
    <mergeCell ref="AB132:AD132"/>
    <mergeCell ref="AB136:AD136"/>
    <mergeCell ref="AB157:AD157"/>
    <mergeCell ref="AB225:AD225"/>
    <mergeCell ref="AB226:AD226"/>
    <mergeCell ref="AB227:AD227"/>
    <mergeCell ref="AB228:AD228"/>
    <mergeCell ref="AB229:AD229"/>
    <mergeCell ref="AB231:AD231"/>
    <mergeCell ref="AB234:AD234"/>
    <mergeCell ref="AB235:AD235"/>
    <mergeCell ref="AB214:AD214"/>
    <mergeCell ref="AB215:AD215"/>
    <mergeCell ref="AB217:AD217"/>
    <mergeCell ref="AB218:AD218"/>
    <mergeCell ref="AB219:AD219"/>
    <mergeCell ref="AB220:AD220"/>
    <mergeCell ref="AB221:AD221"/>
    <mergeCell ref="AB222:AD222"/>
    <mergeCell ref="AB223:AD223"/>
    <mergeCell ref="AB158:AD158"/>
    <mergeCell ref="AB167:AD167"/>
    <mergeCell ref="AB168:AD168"/>
    <mergeCell ref="AB138:AD138"/>
    <mergeCell ref="AB133:AD133"/>
    <mergeCell ref="AB175:AD175"/>
    <mergeCell ref="AB187:AD187"/>
    <mergeCell ref="AB159:AD159"/>
    <mergeCell ref="AB144:AD144"/>
    <mergeCell ref="AB111:AD111"/>
    <mergeCell ref="AB112:AD112"/>
    <mergeCell ref="AB113:AD113"/>
    <mergeCell ref="AB114:AD114"/>
    <mergeCell ref="AB115:AD115"/>
    <mergeCell ref="AB116:AD116"/>
    <mergeCell ref="AB117:AD117"/>
    <mergeCell ref="AB119:AD119"/>
    <mergeCell ref="AB120:AD120"/>
    <mergeCell ref="AB135:AD135"/>
    <mergeCell ref="AB160:AD160"/>
    <mergeCell ref="AB150:AD150"/>
    <mergeCell ref="AB179:AD179"/>
    <mergeCell ref="AB172:AD172"/>
    <mergeCell ref="AB176:AD176"/>
    <mergeCell ref="AB180:AD180"/>
    <mergeCell ref="AB100:AD100"/>
    <mergeCell ref="AB101:AD101"/>
    <mergeCell ref="AB102:AD102"/>
    <mergeCell ref="AB103:AD103"/>
    <mergeCell ref="AB104:AD104"/>
    <mergeCell ref="AB105:AD105"/>
    <mergeCell ref="AB106:AD106"/>
    <mergeCell ref="AB107:AD107"/>
    <mergeCell ref="AB108:AD108"/>
    <mergeCell ref="AB84:AD84"/>
    <mergeCell ref="AB85:AD85"/>
    <mergeCell ref="AB87:AD87"/>
    <mergeCell ref="AB88:AD88"/>
    <mergeCell ref="AB89:AD89"/>
    <mergeCell ref="AB90:AD90"/>
    <mergeCell ref="AB94:AD94"/>
    <mergeCell ref="AB96:AD96"/>
    <mergeCell ref="AB97:AD97"/>
    <mergeCell ref="AB98:AD98"/>
    <mergeCell ref="AB99:AD99"/>
    <mergeCell ref="AB93:AD93"/>
    <mergeCell ref="AB72:AD72"/>
    <mergeCell ref="AB73:AD73"/>
    <mergeCell ref="AB76:AD76"/>
    <mergeCell ref="AB77:AD77"/>
    <mergeCell ref="AB78:AD78"/>
    <mergeCell ref="AB79:AD79"/>
    <mergeCell ref="AB81:AD81"/>
    <mergeCell ref="AB82:AD82"/>
    <mergeCell ref="AB83:AD83"/>
    <mergeCell ref="AB86:AD86"/>
    <mergeCell ref="AB80:AD80"/>
    <mergeCell ref="AB63:AD63"/>
    <mergeCell ref="AB64:AD64"/>
    <mergeCell ref="AB65:AD65"/>
    <mergeCell ref="AB66:AD66"/>
    <mergeCell ref="AB67:AD67"/>
    <mergeCell ref="AB68:AD68"/>
    <mergeCell ref="AB69:AD69"/>
    <mergeCell ref="AB70:AD70"/>
    <mergeCell ref="AB71:AD71"/>
    <mergeCell ref="AB52:AD52"/>
    <mergeCell ref="AB53:AD53"/>
    <mergeCell ref="AB56:AD56"/>
    <mergeCell ref="AB57:AD57"/>
    <mergeCell ref="AB58:AD58"/>
    <mergeCell ref="AB59:AD59"/>
    <mergeCell ref="AB60:AD60"/>
    <mergeCell ref="AB61:AD61"/>
    <mergeCell ref="AB62:AD62"/>
    <mergeCell ref="AB54:AD54"/>
    <mergeCell ref="AB29:AD29"/>
    <mergeCell ref="H10:J10"/>
    <mergeCell ref="L10:N10"/>
    <mergeCell ref="P10:R10"/>
    <mergeCell ref="T10:V10"/>
    <mergeCell ref="X10:Z10"/>
    <mergeCell ref="H8:J8"/>
    <mergeCell ref="AB42:AD42"/>
    <mergeCell ref="AB43:AD43"/>
    <mergeCell ref="AB44:AD44"/>
    <mergeCell ref="AB45:AD45"/>
    <mergeCell ref="AB46:AD46"/>
    <mergeCell ref="AB47:AD47"/>
    <mergeCell ref="AB49:AD49"/>
    <mergeCell ref="AB50:AD50"/>
    <mergeCell ref="AB51:AD51"/>
    <mergeCell ref="AB48:AD48"/>
    <mergeCell ref="AB30:AD30"/>
    <mergeCell ref="AB31:AD31"/>
    <mergeCell ref="AB32:AD32"/>
    <mergeCell ref="AB33:AD33"/>
    <mergeCell ref="AB34:AD34"/>
    <mergeCell ref="AB35:AD35"/>
    <mergeCell ref="AB39:AD39"/>
    <mergeCell ref="AB40:AD40"/>
    <mergeCell ref="AB41:AD41"/>
    <mergeCell ref="AB8:AD8"/>
    <mergeCell ref="AB10:AD10"/>
    <mergeCell ref="AB11:AD11"/>
    <mergeCell ref="AB12:AD12"/>
    <mergeCell ref="AB13:AD13"/>
    <mergeCell ref="AB14:AD14"/>
    <mergeCell ref="AB16:AD16"/>
    <mergeCell ref="AB19:AD19"/>
    <mergeCell ref="AB20:AD20"/>
    <mergeCell ref="AB23:AD23"/>
    <mergeCell ref="AB24:AD24"/>
    <mergeCell ref="AB25:AD25"/>
    <mergeCell ref="AB26:AD26"/>
    <mergeCell ref="AB27:AD27"/>
    <mergeCell ref="AB28:AD28"/>
    <mergeCell ref="AB17:AD17"/>
    <mergeCell ref="L8:N8"/>
    <mergeCell ref="P8:R8"/>
    <mergeCell ref="T8:V8"/>
    <mergeCell ref="X8:Z8"/>
    <mergeCell ref="D12:E12"/>
    <mergeCell ref="H12:J12"/>
    <mergeCell ref="L12:N12"/>
    <mergeCell ref="P12:R12"/>
    <mergeCell ref="T12:V12"/>
    <mergeCell ref="X12:Z12"/>
    <mergeCell ref="D11:E11"/>
    <mergeCell ref="H11:J11"/>
    <mergeCell ref="L11:N11"/>
    <mergeCell ref="P11:R11"/>
    <mergeCell ref="T11:V11"/>
    <mergeCell ref="X11:Z11"/>
    <mergeCell ref="X14:Z14"/>
    <mergeCell ref="D13:E13"/>
    <mergeCell ref="H13:J13"/>
    <mergeCell ref="L13:N13"/>
    <mergeCell ref="P13:R13"/>
    <mergeCell ref="T13:V13"/>
    <mergeCell ref="X13:Z13"/>
    <mergeCell ref="D10:E10"/>
    <mergeCell ref="D8:E8"/>
    <mergeCell ref="D15:E15"/>
    <mergeCell ref="D16:E16"/>
    <mergeCell ref="H16:J16"/>
    <mergeCell ref="L16:N16"/>
    <mergeCell ref="P16:R16"/>
    <mergeCell ref="T16:V16"/>
    <mergeCell ref="D14:E14"/>
    <mergeCell ref="H14:J14"/>
    <mergeCell ref="L14:N14"/>
    <mergeCell ref="P14:R14"/>
    <mergeCell ref="T14:V14"/>
    <mergeCell ref="X20:Z20"/>
    <mergeCell ref="D19:E19"/>
    <mergeCell ref="H19:J19"/>
    <mergeCell ref="L19:N19"/>
    <mergeCell ref="P19:R19"/>
    <mergeCell ref="T19:V19"/>
    <mergeCell ref="X19:Z19"/>
    <mergeCell ref="X16:Z16"/>
    <mergeCell ref="L17:N17"/>
    <mergeCell ref="P17:R17"/>
    <mergeCell ref="T17:V17"/>
    <mergeCell ref="X17:Z17"/>
    <mergeCell ref="D22:E22"/>
    <mergeCell ref="D23:E23"/>
    <mergeCell ref="H23:J23"/>
    <mergeCell ref="L23:N23"/>
    <mergeCell ref="P23:R23"/>
    <mergeCell ref="T23:V23"/>
    <mergeCell ref="D20:E20"/>
    <mergeCell ref="H20:J20"/>
    <mergeCell ref="L20:N20"/>
    <mergeCell ref="P20:R20"/>
    <mergeCell ref="T20:V20"/>
    <mergeCell ref="X23:Z23"/>
    <mergeCell ref="D25:E25"/>
    <mergeCell ref="H25:J25"/>
    <mergeCell ref="L25:N25"/>
    <mergeCell ref="P25:R25"/>
    <mergeCell ref="T25:V25"/>
    <mergeCell ref="X25:Z25"/>
    <mergeCell ref="D24:E24"/>
    <mergeCell ref="L24:N24"/>
    <mergeCell ref="P24:R24"/>
    <mergeCell ref="T24:V24"/>
    <mergeCell ref="X24:Z24"/>
    <mergeCell ref="H24:J24"/>
    <mergeCell ref="L32:N32"/>
    <mergeCell ref="P32:R32"/>
    <mergeCell ref="T32:V32"/>
    <mergeCell ref="X32:Z32"/>
    <mergeCell ref="D27:E27"/>
    <mergeCell ref="H27:J27"/>
    <mergeCell ref="L27:N27"/>
    <mergeCell ref="P27:R27"/>
    <mergeCell ref="T27:V27"/>
    <mergeCell ref="X27:Z27"/>
    <mergeCell ref="D26:E26"/>
    <mergeCell ref="H26:J26"/>
    <mergeCell ref="L26:N26"/>
    <mergeCell ref="P26:R26"/>
    <mergeCell ref="T26:V26"/>
    <mergeCell ref="X26:Z26"/>
    <mergeCell ref="D29:E29"/>
    <mergeCell ref="H29:J29"/>
    <mergeCell ref="L29:N29"/>
    <mergeCell ref="P29:R29"/>
    <mergeCell ref="T29:V29"/>
    <mergeCell ref="X29:Z29"/>
    <mergeCell ref="D28:E28"/>
    <mergeCell ref="H28:J28"/>
    <mergeCell ref="L28:N28"/>
    <mergeCell ref="P28:R28"/>
    <mergeCell ref="T28:V28"/>
    <mergeCell ref="X28:Z28"/>
    <mergeCell ref="P34:R34"/>
    <mergeCell ref="T34:V34"/>
    <mergeCell ref="D35:E35"/>
    <mergeCell ref="L35:N35"/>
    <mergeCell ref="P35:R35"/>
    <mergeCell ref="T35:V35"/>
    <mergeCell ref="D45:E45"/>
    <mergeCell ref="H45:J45"/>
    <mergeCell ref="L45:N45"/>
    <mergeCell ref="P45:R45"/>
    <mergeCell ref="T45:V45"/>
    <mergeCell ref="X30:Z30"/>
    <mergeCell ref="D31:E31"/>
    <mergeCell ref="H31:J31"/>
    <mergeCell ref="L31:N31"/>
    <mergeCell ref="P31:R31"/>
    <mergeCell ref="T31:V31"/>
    <mergeCell ref="X31:Z31"/>
    <mergeCell ref="D30:E30"/>
    <mergeCell ref="H30:J30"/>
    <mergeCell ref="L30:N30"/>
    <mergeCell ref="P30:R30"/>
    <mergeCell ref="T30:V30"/>
    <mergeCell ref="X34:Z34"/>
    <mergeCell ref="D33:E33"/>
    <mergeCell ref="L33:N33"/>
    <mergeCell ref="P33:R33"/>
    <mergeCell ref="T33:V33"/>
    <mergeCell ref="X33:Z33"/>
    <mergeCell ref="D32:E32"/>
    <mergeCell ref="H32:J32"/>
    <mergeCell ref="X45:Z45"/>
    <mergeCell ref="D43:E43"/>
    <mergeCell ref="H43:J43"/>
    <mergeCell ref="L43:N43"/>
    <mergeCell ref="P43:R43"/>
    <mergeCell ref="T43:V43"/>
    <mergeCell ref="X43:Z43"/>
    <mergeCell ref="D44:E44"/>
    <mergeCell ref="H44:J44"/>
    <mergeCell ref="L44:N44"/>
    <mergeCell ref="P44:R44"/>
    <mergeCell ref="T44:V44"/>
    <mergeCell ref="X44:Z44"/>
    <mergeCell ref="X35:Z35"/>
    <mergeCell ref="D57:E57"/>
    <mergeCell ref="H57:J57"/>
    <mergeCell ref="L57:N57"/>
    <mergeCell ref="P57:R57"/>
    <mergeCell ref="T57:V57"/>
    <mergeCell ref="X57:Z57"/>
    <mergeCell ref="D56:E56"/>
    <mergeCell ref="H56:J56"/>
    <mergeCell ref="L56:N56"/>
    <mergeCell ref="P56:R56"/>
    <mergeCell ref="T56:V56"/>
    <mergeCell ref="X56:Z56"/>
    <mergeCell ref="D49:E49"/>
    <mergeCell ref="H49:J49"/>
    <mergeCell ref="L49:N49"/>
    <mergeCell ref="P49:R49"/>
    <mergeCell ref="T49:V49"/>
    <mergeCell ref="X49:Z49"/>
    <mergeCell ref="T54:V54"/>
    <mergeCell ref="D46:E46"/>
    <mergeCell ref="D60:E60"/>
    <mergeCell ref="H60:J60"/>
    <mergeCell ref="L60:N60"/>
    <mergeCell ref="P60:R60"/>
    <mergeCell ref="T60:V60"/>
    <mergeCell ref="X60:Z60"/>
    <mergeCell ref="D63:E63"/>
    <mergeCell ref="H63:J63"/>
    <mergeCell ref="L63:N63"/>
    <mergeCell ref="P63:R63"/>
    <mergeCell ref="T63:V63"/>
    <mergeCell ref="X63:Z63"/>
    <mergeCell ref="D62:E62"/>
    <mergeCell ref="H62:J62"/>
    <mergeCell ref="L62:N62"/>
    <mergeCell ref="P62:R62"/>
    <mergeCell ref="T62:V62"/>
    <mergeCell ref="X62:Z62"/>
    <mergeCell ref="H46:J46"/>
    <mergeCell ref="L46:N46"/>
    <mergeCell ref="P46:R46"/>
    <mergeCell ref="T46:V46"/>
    <mergeCell ref="X46:Z46"/>
    <mergeCell ref="D47:E47"/>
    <mergeCell ref="H47:J47"/>
    <mergeCell ref="L47:N47"/>
    <mergeCell ref="P47:R47"/>
    <mergeCell ref="T47:V47"/>
    <mergeCell ref="X47:Z47"/>
    <mergeCell ref="D48:E48"/>
    <mergeCell ref="H48:J48"/>
    <mergeCell ref="D72:E72"/>
    <mergeCell ref="H72:J72"/>
    <mergeCell ref="L72:N72"/>
    <mergeCell ref="P72:R72"/>
    <mergeCell ref="T72:V72"/>
    <mergeCell ref="X72:Z72"/>
    <mergeCell ref="D65:E65"/>
    <mergeCell ref="H65:J65"/>
    <mergeCell ref="L65:N65"/>
    <mergeCell ref="P65:R65"/>
    <mergeCell ref="T65:V65"/>
    <mergeCell ref="X65:Z65"/>
    <mergeCell ref="D64:E64"/>
    <mergeCell ref="H64:J64"/>
    <mergeCell ref="L64:N64"/>
    <mergeCell ref="P64:R64"/>
    <mergeCell ref="T64:V64"/>
    <mergeCell ref="X64:Z64"/>
    <mergeCell ref="D67:E67"/>
    <mergeCell ref="H67:J67"/>
    <mergeCell ref="L67:N67"/>
    <mergeCell ref="P67:R67"/>
    <mergeCell ref="T67:V67"/>
    <mergeCell ref="X67:Z67"/>
    <mergeCell ref="D66:E66"/>
    <mergeCell ref="H66:J66"/>
    <mergeCell ref="L66:N66"/>
    <mergeCell ref="P66:R66"/>
    <mergeCell ref="T66:V66"/>
    <mergeCell ref="X66:Z66"/>
    <mergeCell ref="H69:J69"/>
    <mergeCell ref="X76:Z76"/>
    <mergeCell ref="D77:E77"/>
    <mergeCell ref="H77:J77"/>
    <mergeCell ref="L77:N77"/>
    <mergeCell ref="P77:R77"/>
    <mergeCell ref="T77:V77"/>
    <mergeCell ref="X77:Z77"/>
    <mergeCell ref="D74:E74"/>
    <mergeCell ref="D76:E76"/>
    <mergeCell ref="H76:J76"/>
    <mergeCell ref="L76:N76"/>
    <mergeCell ref="P76:R76"/>
    <mergeCell ref="T76:V76"/>
    <mergeCell ref="D75:E75"/>
    <mergeCell ref="D73:E73"/>
    <mergeCell ref="H73:J73"/>
    <mergeCell ref="L73:N73"/>
    <mergeCell ref="P73:R73"/>
    <mergeCell ref="T73:V73"/>
    <mergeCell ref="X73:Z73"/>
    <mergeCell ref="D79:E79"/>
    <mergeCell ref="H79:J79"/>
    <mergeCell ref="L79:N79"/>
    <mergeCell ref="P79:R79"/>
    <mergeCell ref="T79:V79"/>
    <mergeCell ref="X79:Z79"/>
    <mergeCell ref="D78:E78"/>
    <mergeCell ref="H78:J78"/>
    <mergeCell ref="L78:N78"/>
    <mergeCell ref="P78:R78"/>
    <mergeCell ref="T78:V78"/>
    <mergeCell ref="X78:Z78"/>
    <mergeCell ref="D82:E82"/>
    <mergeCell ref="H82:J82"/>
    <mergeCell ref="L82:N82"/>
    <mergeCell ref="P82:R82"/>
    <mergeCell ref="T82:V82"/>
    <mergeCell ref="X82:Z82"/>
    <mergeCell ref="D81:E81"/>
    <mergeCell ref="H81:J81"/>
    <mergeCell ref="L81:N81"/>
    <mergeCell ref="P81:R81"/>
    <mergeCell ref="T81:V81"/>
    <mergeCell ref="X81:Z81"/>
    <mergeCell ref="D80:E80"/>
    <mergeCell ref="H80:J80"/>
    <mergeCell ref="L80:N80"/>
    <mergeCell ref="P80:R80"/>
    <mergeCell ref="T80:V80"/>
    <mergeCell ref="X80:Z80"/>
    <mergeCell ref="D84:E84"/>
    <mergeCell ref="H84:J84"/>
    <mergeCell ref="L84:N84"/>
    <mergeCell ref="P84:R84"/>
    <mergeCell ref="T84:V84"/>
    <mergeCell ref="X84:Z84"/>
    <mergeCell ref="D83:E83"/>
    <mergeCell ref="H83:J83"/>
    <mergeCell ref="L83:N83"/>
    <mergeCell ref="P83:R83"/>
    <mergeCell ref="T83:V83"/>
    <mergeCell ref="X83:Z83"/>
    <mergeCell ref="D87:E87"/>
    <mergeCell ref="H87:J87"/>
    <mergeCell ref="L87:N87"/>
    <mergeCell ref="P87:R87"/>
    <mergeCell ref="T87:V87"/>
    <mergeCell ref="X87:Z87"/>
    <mergeCell ref="D85:E85"/>
    <mergeCell ref="H85:J85"/>
    <mergeCell ref="L85:N85"/>
    <mergeCell ref="P85:R85"/>
    <mergeCell ref="T85:V85"/>
    <mergeCell ref="X85:Z85"/>
    <mergeCell ref="D86:E86"/>
    <mergeCell ref="H86:J86"/>
    <mergeCell ref="L86:N86"/>
    <mergeCell ref="P86:R86"/>
    <mergeCell ref="T86:V86"/>
    <mergeCell ref="X86:Z86"/>
    <mergeCell ref="X90:Z90"/>
    <mergeCell ref="D89:E89"/>
    <mergeCell ref="H89:J89"/>
    <mergeCell ref="L89:N89"/>
    <mergeCell ref="P89:R89"/>
    <mergeCell ref="T89:V89"/>
    <mergeCell ref="X89:Z89"/>
    <mergeCell ref="D88:E88"/>
    <mergeCell ref="H88:J88"/>
    <mergeCell ref="L88:N88"/>
    <mergeCell ref="P88:R88"/>
    <mergeCell ref="T88:V88"/>
    <mergeCell ref="X88:Z88"/>
    <mergeCell ref="D92:E92"/>
    <mergeCell ref="D94:E94"/>
    <mergeCell ref="H94:J94"/>
    <mergeCell ref="L94:N94"/>
    <mergeCell ref="P94:R94"/>
    <mergeCell ref="T94:V94"/>
    <mergeCell ref="D90:E90"/>
    <mergeCell ref="H90:J90"/>
    <mergeCell ref="L90:N90"/>
    <mergeCell ref="P90:R90"/>
    <mergeCell ref="T90:V90"/>
    <mergeCell ref="D93:E93"/>
    <mergeCell ref="H93:J93"/>
    <mergeCell ref="L93:N93"/>
    <mergeCell ref="P93:R93"/>
    <mergeCell ref="T93:V93"/>
    <mergeCell ref="X93:Z93"/>
    <mergeCell ref="L96:N96"/>
    <mergeCell ref="P96:R96"/>
    <mergeCell ref="T96:V96"/>
    <mergeCell ref="X96:Z96"/>
    <mergeCell ref="D101:E101"/>
    <mergeCell ref="H101:J101"/>
    <mergeCell ref="L101:N101"/>
    <mergeCell ref="P101:R101"/>
    <mergeCell ref="T101:V101"/>
    <mergeCell ref="X101:Z101"/>
    <mergeCell ref="D100:E100"/>
    <mergeCell ref="H100:J100"/>
    <mergeCell ref="L100:N100"/>
    <mergeCell ref="P100:R100"/>
    <mergeCell ref="T100:V100"/>
    <mergeCell ref="X100:Z100"/>
    <mergeCell ref="D98:E98"/>
    <mergeCell ref="H98:J98"/>
    <mergeCell ref="L98:N98"/>
    <mergeCell ref="P98:R98"/>
    <mergeCell ref="T98:V98"/>
    <mergeCell ref="X98:Z98"/>
    <mergeCell ref="D99:E99"/>
    <mergeCell ref="H99:J99"/>
    <mergeCell ref="L99:N99"/>
    <mergeCell ref="P99:R99"/>
    <mergeCell ref="T99:V99"/>
    <mergeCell ref="X99:Z99"/>
    <mergeCell ref="D103:E103"/>
    <mergeCell ref="H103:J103"/>
    <mergeCell ref="L103:N103"/>
    <mergeCell ref="P103:R103"/>
    <mergeCell ref="T103:V103"/>
    <mergeCell ref="X103:Z103"/>
    <mergeCell ref="D102:E102"/>
    <mergeCell ref="H102:J102"/>
    <mergeCell ref="L102:N102"/>
    <mergeCell ref="P102:R102"/>
    <mergeCell ref="T102:V102"/>
    <mergeCell ref="X102:Z102"/>
    <mergeCell ref="D105:E105"/>
    <mergeCell ref="H105:J105"/>
    <mergeCell ref="L105:N105"/>
    <mergeCell ref="P105:R105"/>
    <mergeCell ref="T105:V105"/>
    <mergeCell ref="X105:Z105"/>
    <mergeCell ref="D104:E104"/>
    <mergeCell ref="H104:J104"/>
    <mergeCell ref="L104:N104"/>
    <mergeCell ref="P104:R104"/>
    <mergeCell ref="T104:V104"/>
    <mergeCell ref="X104:Z104"/>
    <mergeCell ref="X108:Z108"/>
    <mergeCell ref="D107:E107"/>
    <mergeCell ref="H107:J107"/>
    <mergeCell ref="L107:N107"/>
    <mergeCell ref="P107:R107"/>
    <mergeCell ref="T107:V107"/>
    <mergeCell ref="X107:Z107"/>
    <mergeCell ref="D106:E106"/>
    <mergeCell ref="H106:J106"/>
    <mergeCell ref="L106:N106"/>
    <mergeCell ref="P106:R106"/>
    <mergeCell ref="T106:V106"/>
    <mergeCell ref="X106:Z106"/>
    <mergeCell ref="D110:E110"/>
    <mergeCell ref="D111:E111"/>
    <mergeCell ref="H111:J111"/>
    <mergeCell ref="L111:N111"/>
    <mergeCell ref="P111:R111"/>
    <mergeCell ref="T111:V111"/>
    <mergeCell ref="D108:E108"/>
    <mergeCell ref="H108:J108"/>
    <mergeCell ref="L108:N108"/>
    <mergeCell ref="P108:R108"/>
    <mergeCell ref="T108:V108"/>
    <mergeCell ref="X115:Z115"/>
    <mergeCell ref="X111:Z111"/>
    <mergeCell ref="D114:E114"/>
    <mergeCell ref="H114:J114"/>
    <mergeCell ref="L114:N114"/>
    <mergeCell ref="P114:R114"/>
    <mergeCell ref="T114:V114"/>
    <mergeCell ref="X114:Z114"/>
    <mergeCell ref="D112:E112"/>
    <mergeCell ref="H112:J112"/>
    <mergeCell ref="L112:N112"/>
    <mergeCell ref="D117:E117"/>
    <mergeCell ref="H117:J117"/>
    <mergeCell ref="L117:N117"/>
    <mergeCell ref="P117:R117"/>
    <mergeCell ref="T117:V117"/>
    <mergeCell ref="X117:Z117"/>
    <mergeCell ref="D116:E116"/>
    <mergeCell ref="H116:J116"/>
    <mergeCell ref="L116:N116"/>
    <mergeCell ref="P116:R116"/>
    <mergeCell ref="T116:V116"/>
    <mergeCell ref="X116:Z116"/>
    <mergeCell ref="D115:E115"/>
    <mergeCell ref="H115:J115"/>
    <mergeCell ref="L115:N115"/>
    <mergeCell ref="P115:R115"/>
    <mergeCell ref="T115:V115"/>
    <mergeCell ref="L130:N130"/>
    <mergeCell ref="P130:R130"/>
    <mergeCell ref="T130:V130"/>
    <mergeCell ref="X120:Z120"/>
    <mergeCell ref="D119:E119"/>
    <mergeCell ref="H119:J119"/>
    <mergeCell ref="L119:N119"/>
    <mergeCell ref="P119:R119"/>
    <mergeCell ref="T119:V119"/>
    <mergeCell ref="X119:Z119"/>
    <mergeCell ref="D125:E125"/>
    <mergeCell ref="H125:J125"/>
    <mergeCell ref="L125:N125"/>
    <mergeCell ref="P125:R125"/>
    <mergeCell ref="T125:V125"/>
    <mergeCell ref="X125:Z125"/>
    <mergeCell ref="D123:E123"/>
    <mergeCell ref="D124:E124"/>
    <mergeCell ref="D122:E122"/>
    <mergeCell ref="H122:J122"/>
    <mergeCell ref="L122:N122"/>
    <mergeCell ref="P122:R122"/>
    <mergeCell ref="T122:V122"/>
    <mergeCell ref="X122:Z122"/>
    <mergeCell ref="L120:N120"/>
    <mergeCell ref="P120:R120"/>
    <mergeCell ref="T120:V120"/>
    <mergeCell ref="D120:E120"/>
    <mergeCell ref="H120:J120"/>
    <mergeCell ref="H129:J129"/>
    <mergeCell ref="L129:N129"/>
    <mergeCell ref="P129:R129"/>
    <mergeCell ref="L209:N209"/>
    <mergeCell ref="P209:R209"/>
    <mergeCell ref="T210:V210"/>
    <mergeCell ref="X210:Z210"/>
    <mergeCell ref="H212:J212"/>
    <mergeCell ref="D175:E175"/>
    <mergeCell ref="H175:J175"/>
    <mergeCell ref="L175:N175"/>
    <mergeCell ref="P175:R175"/>
    <mergeCell ref="T175:V175"/>
    <mergeCell ref="H150:J150"/>
    <mergeCell ref="T160:V160"/>
    <mergeCell ref="X160:Z160"/>
    <mergeCell ref="X175:Z175"/>
    <mergeCell ref="D179:E179"/>
    <mergeCell ref="H179:J179"/>
    <mergeCell ref="L179:N179"/>
    <mergeCell ref="L150:N150"/>
    <mergeCell ref="P150:R150"/>
    <mergeCell ref="T150:V150"/>
    <mergeCell ref="X150:Z150"/>
    <mergeCell ref="D171:E171"/>
    <mergeCell ref="H171:J171"/>
    <mergeCell ref="P157:R157"/>
    <mergeCell ref="T157:V157"/>
    <mergeCell ref="X157:Z157"/>
    <mergeCell ref="X179:Z179"/>
    <mergeCell ref="L174:N174"/>
    <mergeCell ref="P174:R174"/>
    <mergeCell ref="D172:E172"/>
    <mergeCell ref="H172:J172"/>
    <mergeCell ref="L172:N172"/>
    <mergeCell ref="E262:F262"/>
    <mergeCell ref="E263:F263"/>
    <mergeCell ref="E264:F264"/>
    <mergeCell ref="E253:F253"/>
    <mergeCell ref="E254:F254"/>
    <mergeCell ref="E255:F255"/>
    <mergeCell ref="E256:F256"/>
    <mergeCell ref="E257:F257"/>
    <mergeCell ref="E258:F258"/>
    <mergeCell ref="D147:E147"/>
    <mergeCell ref="D237:E237"/>
    <mergeCell ref="H207:J207"/>
    <mergeCell ref="L207:N207"/>
    <mergeCell ref="P207:R207"/>
    <mergeCell ref="H208:J208"/>
    <mergeCell ref="L208:N208"/>
    <mergeCell ref="P208:R208"/>
    <mergeCell ref="D212:E212"/>
    <mergeCell ref="D214:E214"/>
    <mergeCell ref="D227:E227"/>
    <mergeCell ref="D228:E228"/>
    <mergeCell ref="D231:E231"/>
    <mergeCell ref="P214:R214"/>
    <mergeCell ref="H215:J215"/>
    <mergeCell ref="L215:N215"/>
    <mergeCell ref="P215:R215"/>
    <mergeCell ref="H217:J217"/>
    <mergeCell ref="L217:N217"/>
    <mergeCell ref="P217:R217"/>
    <mergeCell ref="D224:E224"/>
    <mergeCell ref="D225:E225"/>
    <mergeCell ref="D226:E226"/>
    <mergeCell ref="A8:B8"/>
    <mergeCell ref="A10:B10"/>
    <mergeCell ref="A11:B11"/>
    <mergeCell ref="A12:B12"/>
    <mergeCell ref="A13:B13"/>
    <mergeCell ref="E259:F259"/>
    <mergeCell ref="E260:F260"/>
    <mergeCell ref="E261:F261"/>
    <mergeCell ref="D249:F249"/>
    <mergeCell ref="D250:F250"/>
    <mergeCell ref="E251:F251"/>
    <mergeCell ref="E252:F252"/>
    <mergeCell ref="D235:E235"/>
    <mergeCell ref="D233:E233"/>
    <mergeCell ref="D234:E234"/>
    <mergeCell ref="A21:B21"/>
    <mergeCell ref="A22:B22"/>
    <mergeCell ref="A23:B23"/>
    <mergeCell ref="A24:B24"/>
    <mergeCell ref="A25:B25"/>
    <mergeCell ref="A26:B26"/>
    <mergeCell ref="A14:B14"/>
    <mergeCell ref="A15:B15"/>
    <mergeCell ref="A16:B16"/>
    <mergeCell ref="A19:B19"/>
    <mergeCell ref="A20:B20"/>
    <mergeCell ref="A32:B32"/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45:B45"/>
    <mergeCell ref="A46:B46"/>
    <mergeCell ref="A47:B47"/>
    <mergeCell ref="A49:B49"/>
    <mergeCell ref="A50:B50"/>
    <mergeCell ref="A51:B51"/>
    <mergeCell ref="A39:B39"/>
    <mergeCell ref="A40:B40"/>
    <mergeCell ref="A41:B41"/>
    <mergeCell ref="A42:B42"/>
    <mergeCell ref="A43:B43"/>
    <mergeCell ref="A44:B44"/>
    <mergeCell ref="A48:B48"/>
    <mergeCell ref="A38:B38"/>
    <mergeCell ref="A60:B60"/>
    <mergeCell ref="A61:B61"/>
    <mergeCell ref="A62:B62"/>
    <mergeCell ref="A63:B63"/>
    <mergeCell ref="A64:B64"/>
    <mergeCell ref="A65:B65"/>
    <mergeCell ref="A52:B52"/>
    <mergeCell ref="A53:B53"/>
    <mergeCell ref="A56:B56"/>
    <mergeCell ref="A57:B57"/>
    <mergeCell ref="A58:B58"/>
    <mergeCell ref="A59:B59"/>
    <mergeCell ref="A72:B72"/>
    <mergeCell ref="A73:B73"/>
    <mergeCell ref="A74:B74"/>
    <mergeCell ref="A75:B75"/>
    <mergeCell ref="A76:B76"/>
    <mergeCell ref="A55:B55"/>
    <mergeCell ref="A77:B77"/>
    <mergeCell ref="A66:B66"/>
    <mergeCell ref="A67:B67"/>
    <mergeCell ref="A68:B68"/>
    <mergeCell ref="A69:B69"/>
    <mergeCell ref="A70:B70"/>
    <mergeCell ref="A71:B71"/>
    <mergeCell ref="A85:B85"/>
    <mergeCell ref="A87:B87"/>
    <mergeCell ref="A88:B88"/>
    <mergeCell ref="A89:B89"/>
    <mergeCell ref="A90:B90"/>
    <mergeCell ref="A91:B91"/>
    <mergeCell ref="A78:B78"/>
    <mergeCell ref="A79:B79"/>
    <mergeCell ref="A81:B81"/>
    <mergeCell ref="A82:B82"/>
    <mergeCell ref="A83:B83"/>
    <mergeCell ref="A84:B84"/>
    <mergeCell ref="A86:B86"/>
    <mergeCell ref="A80:B80"/>
    <mergeCell ref="A150:B150"/>
    <mergeCell ref="A102:B102"/>
    <mergeCell ref="A103:B103"/>
    <mergeCell ref="A104:B104"/>
    <mergeCell ref="A105:B105"/>
    <mergeCell ref="A106:B106"/>
    <mergeCell ref="A107:B107"/>
    <mergeCell ref="A92:B92"/>
    <mergeCell ref="A94:B94"/>
    <mergeCell ref="A96:B96"/>
    <mergeCell ref="A97:B97"/>
    <mergeCell ref="A100:B100"/>
    <mergeCell ref="A101:B101"/>
    <mergeCell ref="A116:B116"/>
    <mergeCell ref="A119:B119"/>
    <mergeCell ref="A120:B120"/>
    <mergeCell ref="A123:B123"/>
    <mergeCell ref="A117:B117"/>
    <mergeCell ref="A108:B108"/>
    <mergeCell ref="A109:B109"/>
    <mergeCell ref="A110:B110"/>
    <mergeCell ref="A111:B111"/>
    <mergeCell ref="A112:B112"/>
    <mergeCell ref="A113:B113"/>
    <mergeCell ref="A98:B98"/>
    <mergeCell ref="A95:B95"/>
    <mergeCell ref="A99:B99"/>
    <mergeCell ref="A122:B122"/>
    <mergeCell ref="A121:B121"/>
    <mergeCell ref="A93:B93"/>
    <mergeCell ref="A143:B143"/>
    <mergeCell ref="A231:B231"/>
    <mergeCell ref="A232:B232"/>
    <mergeCell ref="A233:B233"/>
    <mergeCell ref="A234:B234"/>
    <mergeCell ref="A235:B235"/>
    <mergeCell ref="A237:B237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16:B216"/>
    <mergeCell ref="A146:B146"/>
    <mergeCell ref="A147:B147"/>
    <mergeCell ref="A203:B203"/>
    <mergeCell ref="A204:B204"/>
    <mergeCell ref="A207:B207"/>
    <mergeCell ref="A217:B217"/>
    <mergeCell ref="A218:B218"/>
    <mergeCell ref="A219:B219"/>
    <mergeCell ref="A220:B220"/>
    <mergeCell ref="A221:B221"/>
    <mergeCell ref="A148:B148"/>
    <mergeCell ref="A175:B175"/>
    <mergeCell ref="A176:B176"/>
    <mergeCell ref="A151:B151"/>
    <mergeCell ref="A155:B155"/>
    <mergeCell ref="A183:B183"/>
    <mergeCell ref="A188:B188"/>
    <mergeCell ref="X41:Z41"/>
    <mergeCell ref="X39:Z39"/>
    <mergeCell ref="D40:E40"/>
    <mergeCell ref="H40:J40"/>
    <mergeCell ref="L40:N40"/>
    <mergeCell ref="P40:R40"/>
    <mergeCell ref="T40:V40"/>
    <mergeCell ref="X40:Z40"/>
    <mergeCell ref="D36:E36"/>
    <mergeCell ref="D39:E39"/>
    <mergeCell ref="H39:J39"/>
    <mergeCell ref="L39:N39"/>
    <mergeCell ref="P39:R39"/>
    <mergeCell ref="T39:V39"/>
    <mergeCell ref="D37:E37"/>
    <mergeCell ref="A222:B222"/>
    <mergeCell ref="A208:B208"/>
    <mergeCell ref="A209:B209"/>
    <mergeCell ref="A210:B210"/>
    <mergeCell ref="A212:B212"/>
    <mergeCell ref="A214:B214"/>
    <mergeCell ref="A215:B215"/>
    <mergeCell ref="A130:B130"/>
    <mergeCell ref="A131:B131"/>
    <mergeCell ref="A132:B132"/>
    <mergeCell ref="A136:B136"/>
    <mergeCell ref="A139:B139"/>
    <mergeCell ref="A145:B145"/>
    <mergeCell ref="A134:B134"/>
    <mergeCell ref="A190:B190"/>
    <mergeCell ref="A192:B192"/>
    <mergeCell ref="A197:B197"/>
    <mergeCell ref="D34:E34"/>
    <mergeCell ref="H34:J34"/>
    <mergeCell ref="L34:N34"/>
    <mergeCell ref="H33:J33"/>
    <mergeCell ref="L48:N48"/>
    <mergeCell ref="P48:R48"/>
    <mergeCell ref="T48:V48"/>
    <mergeCell ref="X48:Z48"/>
    <mergeCell ref="D51:E51"/>
    <mergeCell ref="H51:J51"/>
    <mergeCell ref="L51:N51"/>
    <mergeCell ref="P51:R51"/>
    <mergeCell ref="T51:V51"/>
    <mergeCell ref="X51:Z51"/>
    <mergeCell ref="D50:E50"/>
    <mergeCell ref="H50:J50"/>
    <mergeCell ref="L50:N50"/>
    <mergeCell ref="P50:R50"/>
    <mergeCell ref="T50:V50"/>
    <mergeCell ref="X50:Z50"/>
    <mergeCell ref="H35:J35"/>
    <mergeCell ref="D42:E42"/>
    <mergeCell ref="H42:J42"/>
    <mergeCell ref="L42:N42"/>
    <mergeCell ref="P42:R42"/>
    <mergeCell ref="T42:V42"/>
    <mergeCell ref="X42:Z42"/>
    <mergeCell ref="D41:E41"/>
    <mergeCell ref="H41:J41"/>
    <mergeCell ref="L41:N41"/>
    <mergeCell ref="P41:R41"/>
    <mergeCell ref="T41:V41"/>
    <mergeCell ref="D53:E53"/>
    <mergeCell ref="H53:J53"/>
    <mergeCell ref="L53:N53"/>
    <mergeCell ref="P53:R53"/>
    <mergeCell ref="T53:V53"/>
    <mergeCell ref="X53:Z53"/>
    <mergeCell ref="D52:E52"/>
    <mergeCell ref="H52:J52"/>
    <mergeCell ref="L52:N52"/>
    <mergeCell ref="P52:R52"/>
    <mergeCell ref="T52:V52"/>
    <mergeCell ref="X52:Z52"/>
    <mergeCell ref="P69:R69"/>
    <mergeCell ref="T69:V69"/>
    <mergeCell ref="X69:Z69"/>
    <mergeCell ref="D68:E68"/>
    <mergeCell ref="H68:J68"/>
    <mergeCell ref="L68:N68"/>
    <mergeCell ref="P68:R68"/>
    <mergeCell ref="T68:V68"/>
    <mergeCell ref="X68:Z68"/>
    <mergeCell ref="D61:E61"/>
    <mergeCell ref="H61:J61"/>
    <mergeCell ref="L61:N61"/>
    <mergeCell ref="P61:R61"/>
    <mergeCell ref="T61:V61"/>
    <mergeCell ref="X61:Z61"/>
    <mergeCell ref="L69:N69"/>
    <mergeCell ref="X54:Z54"/>
    <mergeCell ref="X55:Z55"/>
    <mergeCell ref="A124:B124"/>
    <mergeCell ref="A129:B129"/>
    <mergeCell ref="A114:B114"/>
    <mergeCell ref="A115:B115"/>
    <mergeCell ref="H126:J126"/>
    <mergeCell ref="H140:J140"/>
    <mergeCell ref="L126:N126"/>
    <mergeCell ref="P126:R126"/>
    <mergeCell ref="T126:V126"/>
    <mergeCell ref="D136:E136"/>
    <mergeCell ref="H136:J136"/>
    <mergeCell ref="L136:N136"/>
    <mergeCell ref="P136:R136"/>
    <mergeCell ref="T136:V136"/>
    <mergeCell ref="D130:E130"/>
    <mergeCell ref="H130:J130"/>
    <mergeCell ref="A118:B118"/>
    <mergeCell ref="L127:N127"/>
    <mergeCell ref="A133:B133"/>
    <mergeCell ref="L128:N128"/>
    <mergeCell ref="P128:R128"/>
    <mergeCell ref="T128:V128"/>
    <mergeCell ref="D132:E132"/>
    <mergeCell ref="H132:J132"/>
    <mergeCell ref="L132:N132"/>
    <mergeCell ref="P132:R132"/>
    <mergeCell ref="T132:V132"/>
    <mergeCell ref="D131:E131"/>
    <mergeCell ref="H131:J131"/>
    <mergeCell ref="L131:N131"/>
    <mergeCell ref="P131:R131"/>
    <mergeCell ref="T131:V131"/>
    <mergeCell ref="X126:Z126"/>
    <mergeCell ref="X145:Z145"/>
    <mergeCell ref="P160:R160"/>
    <mergeCell ref="D140:E140"/>
    <mergeCell ref="L140:N140"/>
    <mergeCell ref="P140:R140"/>
    <mergeCell ref="T140:V140"/>
    <mergeCell ref="X140:Z140"/>
    <mergeCell ref="P112:R112"/>
    <mergeCell ref="T112:V112"/>
    <mergeCell ref="X112:Z112"/>
    <mergeCell ref="D113:E113"/>
    <mergeCell ref="H113:J113"/>
    <mergeCell ref="L113:N113"/>
    <mergeCell ref="P113:R113"/>
    <mergeCell ref="T113:V113"/>
    <mergeCell ref="X113:Z113"/>
    <mergeCell ref="D145:E145"/>
    <mergeCell ref="H145:J145"/>
    <mergeCell ref="L145:N145"/>
    <mergeCell ref="P145:R145"/>
    <mergeCell ref="T145:V145"/>
    <mergeCell ref="X128:Z128"/>
    <mergeCell ref="X136:Z136"/>
    <mergeCell ref="X132:Z132"/>
    <mergeCell ref="X131:Z131"/>
    <mergeCell ref="D133:E133"/>
    <mergeCell ref="H133:J133"/>
    <mergeCell ref="L133:N133"/>
    <mergeCell ref="P133:R133"/>
    <mergeCell ref="T133:V133"/>
    <mergeCell ref="X133:Z133"/>
    <mergeCell ref="D229:E229"/>
    <mergeCell ref="X224:Z224"/>
    <mergeCell ref="H225:J225"/>
    <mergeCell ref="L225:N225"/>
    <mergeCell ref="P225:R225"/>
    <mergeCell ref="D118:E118"/>
    <mergeCell ref="H118:J118"/>
    <mergeCell ref="L118:N118"/>
    <mergeCell ref="T225:V225"/>
    <mergeCell ref="X225:Z225"/>
    <mergeCell ref="H226:J226"/>
    <mergeCell ref="L226:N226"/>
    <mergeCell ref="P226:R226"/>
    <mergeCell ref="T226:V226"/>
    <mergeCell ref="X226:Z226"/>
    <mergeCell ref="H228:J228"/>
    <mergeCell ref="L228:N228"/>
    <mergeCell ref="P228:R228"/>
    <mergeCell ref="T228:V228"/>
    <mergeCell ref="T218:V218"/>
    <mergeCell ref="X218:Z218"/>
    <mergeCell ref="H219:J219"/>
    <mergeCell ref="L219:N219"/>
    <mergeCell ref="P219:R219"/>
    <mergeCell ref="L212:N212"/>
    <mergeCell ref="P212:R212"/>
    <mergeCell ref="T212:V212"/>
    <mergeCell ref="X212:Z212"/>
    <mergeCell ref="X214:Z214"/>
    <mergeCell ref="T217:V217"/>
    <mergeCell ref="X217:Z217"/>
    <mergeCell ref="D160:E160"/>
    <mergeCell ref="A125:B125"/>
    <mergeCell ref="A126:B126"/>
    <mergeCell ref="A128:B128"/>
    <mergeCell ref="A127:B127"/>
    <mergeCell ref="H127:J127"/>
    <mergeCell ref="X234:Z234"/>
    <mergeCell ref="L220:N220"/>
    <mergeCell ref="P220:R220"/>
    <mergeCell ref="T220:V220"/>
    <mergeCell ref="X220:Z220"/>
    <mergeCell ref="H221:J221"/>
    <mergeCell ref="L221:N221"/>
    <mergeCell ref="P221:R221"/>
    <mergeCell ref="T221:V221"/>
    <mergeCell ref="X221:Z221"/>
    <mergeCell ref="T215:V215"/>
    <mergeCell ref="D218:E218"/>
    <mergeCell ref="D219:E219"/>
    <mergeCell ref="D220:E220"/>
    <mergeCell ref="D221:E221"/>
    <mergeCell ref="D222:E222"/>
    <mergeCell ref="D223:E223"/>
    <mergeCell ref="L223:N223"/>
    <mergeCell ref="P223:R223"/>
    <mergeCell ref="T223:V223"/>
    <mergeCell ref="X223:Z223"/>
    <mergeCell ref="H224:J224"/>
    <mergeCell ref="L224:N224"/>
    <mergeCell ref="T219:V219"/>
    <mergeCell ref="X219:Z219"/>
    <mergeCell ref="H220:J220"/>
    <mergeCell ref="X229:Z229"/>
    <mergeCell ref="H218:J218"/>
    <mergeCell ref="L218:N218"/>
    <mergeCell ref="P218:R218"/>
    <mergeCell ref="D215:E215"/>
    <mergeCell ref="D217:E217"/>
    <mergeCell ref="H187:J187"/>
    <mergeCell ref="L187:N187"/>
    <mergeCell ref="P187:R187"/>
    <mergeCell ref="T187:V187"/>
    <mergeCell ref="X187:Z187"/>
    <mergeCell ref="A159:B159"/>
    <mergeCell ref="D159:E159"/>
    <mergeCell ref="H159:J159"/>
    <mergeCell ref="D209:E209"/>
    <mergeCell ref="D210:E210"/>
    <mergeCell ref="H214:J214"/>
    <mergeCell ref="L214:N214"/>
    <mergeCell ref="H160:J160"/>
    <mergeCell ref="L160:N160"/>
    <mergeCell ref="A199:B199"/>
    <mergeCell ref="A187:B187"/>
    <mergeCell ref="A179:B179"/>
    <mergeCell ref="T207:V207"/>
    <mergeCell ref="X207:Z207"/>
    <mergeCell ref="T208:V208"/>
    <mergeCell ref="T214:V214"/>
    <mergeCell ref="D204:E204"/>
    <mergeCell ref="D207:E207"/>
    <mergeCell ref="D208:E208"/>
    <mergeCell ref="D187:E187"/>
    <mergeCell ref="X208:Z208"/>
    <mergeCell ref="H209:J209"/>
    <mergeCell ref="H235:J235"/>
    <mergeCell ref="L235:N235"/>
    <mergeCell ref="P235:R235"/>
    <mergeCell ref="T234:V234"/>
    <mergeCell ref="T235:V235"/>
    <mergeCell ref="X235:Z235"/>
    <mergeCell ref="H234:J234"/>
    <mergeCell ref="L234:N234"/>
    <mergeCell ref="T222:V222"/>
    <mergeCell ref="X222:Z222"/>
    <mergeCell ref="P234:R234"/>
    <mergeCell ref="H227:J227"/>
    <mergeCell ref="L227:N227"/>
    <mergeCell ref="P227:R227"/>
    <mergeCell ref="T227:V227"/>
    <mergeCell ref="X227:Z227"/>
    <mergeCell ref="H222:J222"/>
    <mergeCell ref="L222:N222"/>
    <mergeCell ref="P222:R222"/>
    <mergeCell ref="H223:J223"/>
    <mergeCell ref="T229:V229"/>
    <mergeCell ref="P229:R229"/>
    <mergeCell ref="L229:N229"/>
    <mergeCell ref="H229:J229"/>
    <mergeCell ref="X228:Z228"/>
    <mergeCell ref="P224:R224"/>
    <mergeCell ref="T224:V224"/>
    <mergeCell ref="H231:J231"/>
    <mergeCell ref="L231:N231"/>
    <mergeCell ref="P231:R231"/>
    <mergeCell ref="T231:V231"/>
    <mergeCell ref="X231:Z231"/>
    <mergeCell ref="D95:E95"/>
    <mergeCell ref="H95:J95"/>
    <mergeCell ref="L95:N95"/>
    <mergeCell ref="P95:R95"/>
    <mergeCell ref="T95:V95"/>
    <mergeCell ref="X95:Z95"/>
    <mergeCell ref="AB95:AD95"/>
    <mergeCell ref="D59:E59"/>
    <mergeCell ref="H59:J59"/>
    <mergeCell ref="L59:N59"/>
    <mergeCell ref="P59:R59"/>
    <mergeCell ref="T59:V59"/>
    <mergeCell ref="T1:V1"/>
    <mergeCell ref="T2:V2"/>
    <mergeCell ref="T3:V3"/>
    <mergeCell ref="T4:V4"/>
    <mergeCell ref="T5:V5"/>
    <mergeCell ref="T6:V6"/>
    <mergeCell ref="A2:F2"/>
    <mergeCell ref="B3:F3"/>
    <mergeCell ref="P3:R3"/>
    <mergeCell ref="A54:B54"/>
    <mergeCell ref="D54:E54"/>
    <mergeCell ref="H54:J54"/>
    <mergeCell ref="L54:N54"/>
    <mergeCell ref="P54:R54"/>
    <mergeCell ref="P4:R4"/>
    <mergeCell ref="P5:R5"/>
    <mergeCell ref="P6:R6"/>
    <mergeCell ref="B4:F4"/>
    <mergeCell ref="B5:F5"/>
    <mergeCell ref="B6:F6"/>
    <mergeCell ref="AF1:AL6"/>
    <mergeCell ref="AA1:AA6"/>
    <mergeCell ref="W1:W6"/>
    <mergeCell ref="A7:AL7"/>
    <mergeCell ref="A1:F1"/>
    <mergeCell ref="H2:J2"/>
    <mergeCell ref="H1:J1"/>
    <mergeCell ref="L2:N2"/>
    <mergeCell ref="L3:N3"/>
    <mergeCell ref="L4:N4"/>
    <mergeCell ref="L5:N5"/>
    <mergeCell ref="L6:N6"/>
    <mergeCell ref="L1:N1"/>
    <mergeCell ref="O1:O6"/>
    <mergeCell ref="K1:K6"/>
    <mergeCell ref="P1:R1"/>
    <mergeCell ref="S1:S6"/>
    <mergeCell ref="P2:R2"/>
    <mergeCell ref="AB1:AD1"/>
    <mergeCell ref="AB2:AD2"/>
    <mergeCell ref="AB3:AD3"/>
    <mergeCell ref="AB4:AD4"/>
    <mergeCell ref="AB5:AD5"/>
    <mergeCell ref="AB6:AD6"/>
    <mergeCell ref="X1:Z1"/>
    <mergeCell ref="X2:Z2"/>
    <mergeCell ref="X3:Z3"/>
    <mergeCell ref="X4:Z4"/>
    <mergeCell ref="X5:Z5"/>
    <mergeCell ref="X6:Z6"/>
    <mergeCell ref="AF99:AH99"/>
    <mergeCell ref="AJ99:AL99"/>
    <mergeCell ref="D97:E97"/>
    <mergeCell ref="H97:J97"/>
    <mergeCell ref="L97:N97"/>
    <mergeCell ref="P97:R97"/>
    <mergeCell ref="T97:V97"/>
    <mergeCell ref="X97:Z97"/>
    <mergeCell ref="X94:Z94"/>
    <mergeCell ref="D96:E96"/>
    <mergeCell ref="H96:J96"/>
    <mergeCell ref="X59:Z59"/>
    <mergeCell ref="D58:E58"/>
    <mergeCell ref="H58:J58"/>
    <mergeCell ref="L58:N58"/>
    <mergeCell ref="P58:R58"/>
    <mergeCell ref="T58:V58"/>
    <mergeCell ref="X58:Z58"/>
    <mergeCell ref="D71:E71"/>
    <mergeCell ref="H71:J71"/>
    <mergeCell ref="L71:N71"/>
    <mergeCell ref="P71:R71"/>
    <mergeCell ref="T71:V71"/>
    <mergeCell ref="X71:Z71"/>
    <mergeCell ref="X70:Z70"/>
    <mergeCell ref="T70:V70"/>
    <mergeCell ref="P70:R70"/>
    <mergeCell ref="L70:N70"/>
    <mergeCell ref="H70:J70"/>
    <mergeCell ref="D70:E70"/>
    <mergeCell ref="D69:E69"/>
    <mergeCell ref="AF98:AH98"/>
    <mergeCell ref="AJ187:AL187"/>
    <mergeCell ref="A153:B153"/>
    <mergeCell ref="D153:E153"/>
    <mergeCell ref="H153:J153"/>
    <mergeCell ref="L153:N153"/>
    <mergeCell ref="P153:R153"/>
    <mergeCell ref="T153:V153"/>
    <mergeCell ref="X153:Z153"/>
    <mergeCell ref="AB153:AD153"/>
    <mergeCell ref="AF153:AH153"/>
    <mergeCell ref="AJ153:AL153"/>
    <mergeCell ref="A154:B154"/>
    <mergeCell ref="D154:E154"/>
    <mergeCell ref="H154:J154"/>
    <mergeCell ref="L154:N154"/>
    <mergeCell ref="P154:R154"/>
    <mergeCell ref="T154:V154"/>
    <mergeCell ref="X154:Z154"/>
    <mergeCell ref="AB154:AD154"/>
    <mergeCell ref="AF154:AH154"/>
    <mergeCell ref="AJ154:AL154"/>
    <mergeCell ref="A157:B157"/>
    <mergeCell ref="D157:E157"/>
    <mergeCell ref="H157:J157"/>
    <mergeCell ref="L157:N157"/>
    <mergeCell ref="H162:J162"/>
    <mergeCell ref="L162:N162"/>
    <mergeCell ref="P162:R162"/>
    <mergeCell ref="T162:V162"/>
    <mergeCell ref="X162:Z162"/>
    <mergeCell ref="AB162:AD162"/>
    <mergeCell ref="AF162:AH162"/>
    <mergeCell ref="A164:B164"/>
    <mergeCell ref="D164:E164"/>
    <mergeCell ref="H164:J164"/>
    <mergeCell ref="L164:N164"/>
    <mergeCell ref="P164:R164"/>
    <mergeCell ref="T164:V164"/>
    <mergeCell ref="X164:Z164"/>
    <mergeCell ref="AB164:AD164"/>
    <mergeCell ref="AF164:AH164"/>
    <mergeCell ref="AJ164:AL164"/>
    <mergeCell ref="A161:B161"/>
    <mergeCell ref="D161:E161"/>
    <mergeCell ref="H161:J161"/>
    <mergeCell ref="L161:N161"/>
    <mergeCell ref="P161:R161"/>
    <mergeCell ref="T161:V161"/>
    <mergeCell ref="X161:Z161"/>
    <mergeCell ref="AB161:AD161"/>
    <mergeCell ref="AF161:AH161"/>
    <mergeCell ref="AJ161:AL161"/>
    <mergeCell ref="A163:B163"/>
    <mergeCell ref="D163:E163"/>
    <mergeCell ref="H163:J163"/>
    <mergeCell ref="L163:N163"/>
    <mergeCell ref="P163:R163"/>
    <mergeCell ref="T163:V163"/>
    <mergeCell ref="X163:Z163"/>
    <mergeCell ref="AB163:AD163"/>
    <mergeCell ref="AF163:AH163"/>
    <mergeCell ref="AJ163:AL163"/>
    <mergeCell ref="A162:B162"/>
    <mergeCell ref="D162:E162"/>
    <mergeCell ref="A165:B165"/>
    <mergeCell ref="D165:E165"/>
    <mergeCell ref="H165:J165"/>
    <mergeCell ref="L165:N165"/>
    <mergeCell ref="P165:R165"/>
    <mergeCell ref="T165:V165"/>
    <mergeCell ref="X165:Z165"/>
    <mergeCell ref="AB165:AD165"/>
    <mergeCell ref="AF165:AH165"/>
    <mergeCell ref="AJ165:AL165"/>
    <mergeCell ref="A166:B166"/>
    <mergeCell ref="D166:E166"/>
    <mergeCell ref="H166:J166"/>
    <mergeCell ref="L166:N166"/>
    <mergeCell ref="P166:R166"/>
    <mergeCell ref="T166:V166"/>
    <mergeCell ref="X166:Z166"/>
    <mergeCell ref="AB166:AD166"/>
    <mergeCell ref="AF166:AH166"/>
    <mergeCell ref="AJ166:AL166"/>
    <mergeCell ref="P179:R179"/>
    <mergeCell ref="T179:V179"/>
    <mergeCell ref="H169:J169"/>
    <mergeCell ref="L169:N169"/>
    <mergeCell ref="P169:R169"/>
    <mergeCell ref="T169:V169"/>
    <mergeCell ref="X169:Z169"/>
    <mergeCell ref="AB169:AD169"/>
    <mergeCell ref="AF169:AH169"/>
    <mergeCell ref="AJ169:AL169"/>
    <mergeCell ref="A170:B170"/>
    <mergeCell ref="D170:E170"/>
    <mergeCell ref="H170:J170"/>
    <mergeCell ref="L170:N170"/>
    <mergeCell ref="P170:R170"/>
    <mergeCell ref="T170:V170"/>
    <mergeCell ref="X170:Z170"/>
    <mergeCell ref="AB170:AD170"/>
    <mergeCell ref="AF170:AH170"/>
    <mergeCell ref="AJ170:AL170"/>
    <mergeCell ref="A171:B171"/>
    <mergeCell ref="AJ179:AL179"/>
    <mergeCell ref="A172:B172"/>
    <mergeCell ref="P172:R172"/>
    <mergeCell ref="T172:V172"/>
    <mergeCell ref="X172:Z172"/>
    <mergeCell ref="D176:E176"/>
    <mergeCell ref="H176:J176"/>
    <mergeCell ref="L176:N176"/>
    <mergeCell ref="P176:R176"/>
    <mergeCell ref="T176:V176"/>
    <mergeCell ref="X176:Z176"/>
    <mergeCell ref="A182:B182"/>
    <mergeCell ref="D182:E182"/>
    <mergeCell ref="H182:J182"/>
    <mergeCell ref="L182:N182"/>
    <mergeCell ref="P182:R182"/>
    <mergeCell ref="T182:V182"/>
    <mergeCell ref="X182:Z182"/>
    <mergeCell ref="AB182:AD182"/>
    <mergeCell ref="AF182:AH182"/>
    <mergeCell ref="AJ182:AL182"/>
    <mergeCell ref="A177:B177"/>
    <mergeCell ref="D177:E177"/>
    <mergeCell ref="H177:J177"/>
    <mergeCell ref="L177:N177"/>
    <mergeCell ref="P177:R177"/>
    <mergeCell ref="T177:V177"/>
    <mergeCell ref="X177:Z177"/>
    <mergeCell ref="AB177:AD177"/>
    <mergeCell ref="AF177:AH177"/>
    <mergeCell ref="AJ177:AL177"/>
    <mergeCell ref="A178:B178"/>
    <mergeCell ref="D178:E178"/>
    <mergeCell ref="A181:B181"/>
    <mergeCell ref="D181:E181"/>
    <mergeCell ref="H181:J181"/>
    <mergeCell ref="L181:N181"/>
    <mergeCell ref="P181:R181"/>
    <mergeCell ref="T181:V181"/>
    <mergeCell ref="X181:Z181"/>
    <mergeCell ref="AB181:AD181"/>
    <mergeCell ref="AF181:AH181"/>
    <mergeCell ref="AJ181:AL181"/>
  </mergeCells>
  <phoneticPr fontId="4" type="noConversion"/>
  <dataValidations disablePrompts="1" count="3">
    <dataValidation type="list" allowBlank="1" showInputMessage="1" showErrorMessage="1" prompt="90er=14 kg/m_x000a_125er=18 kg/m" sqref="H93:J93 L93:N93 P93:R93 T93:V93 X93:Z93 AB93:AD93 AF93:AH93 AJ93:AL93" xr:uid="{8EA55DF1-BF45-4050-9CEE-F2253721B90D}">
      <formula1>"14, 18"</formula1>
    </dataValidation>
    <dataValidation type="list" allowBlank="1" showInputMessage="1" showErrorMessage="1" sqref="H97:J97 L97:N97 P97:R97 T97:V97 X97:Z97 AB97:AD97 AF97:AH97 AJ97:AL97" xr:uid="{9C3FEF9F-0A76-4E70-B75C-7D596FB33BC9}">
      <formula1>"y, n"</formula1>
    </dataValidation>
    <dataValidation type="list" allowBlank="1" showInputMessage="1" showErrorMessage="1" prompt="50er=4 kg/m_x000a_90er=14 kg/m_x000a_125er=18 kg/m" sqref="H99:J99 L99:N99 P99:R99 T99:V99 X99:Z99 AB99:AD99 AF99:AH99 AJ99:AL99" xr:uid="{A9D8973C-4E0A-4402-AC83-668CC6742FB5}">
      <formula1>"4, 14, 18"</formula1>
    </dataValidation>
  </dataValidations>
  <printOptions horizontalCentered="1"/>
  <pageMargins left="0.70866141732283472" right="0.70866141732283472" top="0.78740157480314965" bottom="0.78740157480314965" header="0.31496062992125984" footer="0.31496062992125984"/>
  <pageSetup paperSize="8" scale="45" orientation="portrait" r:id="rId1"/>
  <ignoredErrors>
    <ignoredError sqref="H90 L90:AL90" twoDigitTextYea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7ACC156-8721-4194-97E6-CD05E91C3F1C}">
          <x14:formula1>
            <xm:f>Tabelle1!$C$7:$C$10</xm:f>
          </x14:formula1>
          <xm:sqref>H27:J27 L27:N27</xm:sqref>
        </x14:dataValidation>
        <x14:dataValidation type="list" allowBlank="1" showInputMessage="1" showErrorMessage="1" xr:uid="{40201CC9-24E4-4B19-9A1E-E57F37FF9F2E}">
          <x14:formula1>
            <xm:f>Tabelle1!$E$7:$E$8</xm:f>
          </x14:formula1>
          <xm:sqref>AJ111:AL119 AF111:AH119 AB111:AD119 X111:Z119 T111:V119 P111:R119 L111:N119 H111:J119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E9" sqref="E9"/>
    </sheetView>
  </sheetViews>
  <sheetFormatPr defaultColWidth="11.42578125" defaultRowHeight="15" x14ac:dyDescent="0.25"/>
  <sheetData>
    <row r="6" spans="3:5" x14ac:dyDescent="0.25">
      <c r="C6" t="s">
        <v>109</v>
      </c>
      <c r="E6" t="s">
        <v>238</v>
      </c>
    </row>
    <row r="7" spans="3:5" x14ac:dyDescent="0.25">
      <c r="C7">
        <v>1</v>
      </c>
      <c r="E7" t="s">
        <v>239</v>
      </c>
    </row>
    <row r="8" spans="3:5" x14ac:dyDescent="0.25">
      <c r="C8">
        <v>1.6</v>
      </c>
      <c r="E8" t="s">
        <v>240</v>
      </c>
    </row>
    <row r="9" spans="3:5" x14ac:dyDescent="0.25">
      <c r="C9">
        <v>2</v>
      </c>
    </row>
    <row r="10" spans="3:5" x14ac:dyDescent="0.25">
      <c r="C10">
        <v>2.5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8F508E751D3429164943D103A7963" ma:contentTypeVersion="16" ma:contentTypeDescription="Create a new document." ma:contentTypeScope="" ma:versionID="fc22c4c71b7afe9c72499f9d51046499">
  <xsd:schema xmlns:xsd="http://www.w3.org/2001/XMLSchema" xmlns:xs="http://www.w3.org/2001/XMLSchema" xmlns:p="http://schemas.microsoft.com/office/2006/metadata/properties" xmlns:ns2="1b2dc621-f197-4dd3-a5d9-efd12dbc2778" xmlns:ns3="88e4fd0c-1407-43b4-b530-87d23d1dbf6b" targetNamespace="http://schemas.microsoft.com/office/2006/metadata/properties" ma:root="true" ma:fieldsID="92b10fac0a681f03d5640564d98db6a4" ns2:_="" ns3:_="">
    <xsd:import namespace="1b2dc621-f197-4dd3-a5d9-efd12dbc2778"/>
    <xsd:import namespace="88e4fd0c-1407-43b4-b530-87d23d1db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BasriUgurAkali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dc621-f197-4dd3-a5d9-efd12dbc27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fa978b-cdad-45a5-877c-f631a0e6df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BasriUgurAkalin" ma:index="21" nillable="true" ma:displayName="Basri Ugur Akalin" ma:format="DateOnly" ma:internalName="BasriUgurAkalin">
      <xsd:simpleType>
        <xsd:restriction base="dms:DateTim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4fd0c-1407-43b4-b530-87d23d1dbf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5f88f9-50b1-49d4-9148-db1419bb6562}" ma:internalName="TaxCatchAll" ma:showField="CatchAllData" ma:web="88e4fd0c-1407-43b4-b530-87d23d1db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2dc621-f197-4dd3-a5d9-efd12dbc2778">
      <Terms xmlns="http://schemas.microsoft.com/office/infopath/2007/PartnerControls"/>
    </lcf76f155ced4ddcb4097134ff3c332f>
    <TaxCatchAll xmlns="88e4fd0c-1407-43b4-b530-87d23d1dbf6b" xsi:nil="true"/>
    <BasriUgurAkalin xmlns="1b2dc621-f197-4dd3-a5d9-efd12dbc2778" xsi:nil="true"/>
  </documentManagement>
</p:properties>
</file>

<file path=customXml/itemProps1.xml><?xml version="1.0" encoding="utf-8"?>
<ds:datastoreItem xmlns:ds="http://schemas.openxmlformats.org/officeDocument/2006/customXml" ds:itemID="{E25FB304-9FC1-49D6-9DAA-0FA6B06B7D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dc621-f197-4dd3-a5d9-efd12dbc2778"/>
    <ds:schemaRef ds:uri="88e4fd0c-1407-43b4-b530-87d23d1dbf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CCC6F9-E8E3-4FAE-BB9C-6FD9995490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4B644D-9B65-4993-8092-9D5D024155AF}">
  <ds:schemaRefs>
    <ds:schemaRef ds:uri="http://www.w3.org/XML/1998/namespace"/>
    <ds:schemaRef ds:uri="http://purl.org/dc/terms/"/>
    <ds:schemaRef ds:uri="1b2dc621-f197-4dd3-a5d9-efd12dbc2778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88e4fd0c-1407-43b4-b530-87d23d1dbf6b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VT General Schedules</vt:lpstr>
      <vt:lpstr>Tabelle1</vt:lpstr>
      <vt:lpstr>'VT General Schedules'!Print_Area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Hetfleisch</dc:creator>
  <cp:keywords/>
  <dc:description/>
  <cp:lastModifiedBy>Ruben Koopman</cp:lastModifiedBy>
  <cp:revision/>
  <cp:lastPrinted>2026-01-14T10:52:25Z</cp:lastPrinted>
  <dcterms:created xsi:type="dcterms:W3CDTF">2015-11-02T13:46:23Z</dcterms:created>
  <dcterms:modified xsi:type="dcterms:W3CDTF">2026-05-01T08:29:27Z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0x010100AAE8F508E751D3429164943D103A7963</vt:lpwstr>
  </property>
  <property fmtid="{D5CDD505-2E9C-101B-9397-08002B2CF9AE}" pid="4" name="BHoM_Guid">
    <vt:lpwstr>9293c846-5fad-44d5-9dae-0c6f82a27b8c</vt:lpwstr>
  </property>
</Properties>
</file>