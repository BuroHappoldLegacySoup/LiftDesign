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rkoopman\Downloads\"/>
    </mc:Choice>
  </mc:AlternateContent>
  <xr:revisionPtr revIDLastSave="0" documentId="8_{0E496A39-DC2D-4D0C-802A-171B85BF251C}" xr6:coauthVersionLast="47" xr6:coauthVersionMax="47" xr10:uidLastSave="{00000000-0000-0000-0000-000000000000}"/>
  <bookViews>
    <workbookView xWindow="-120" yWindow="-120" windowWidth="29040" windowHeight="15720" activeTab="1" xr2:uid="{00000000-000D-0000-FFFF-FFFF00000000}"/>
  </bookViews>
  <sheets>
    <sheet name="VT Standard configs" sheetId="4" r:id="rId1"/>
    <sheet name="revision" sheetId="7" r:id="rId2"/>
    <sheet name="selection" sheetId="5" r:id="rId3"/>
    <sheet name="info" sheetId="6" r:id="rId4"/>
    <sheet name="Tabelle1" sheetId="3" state="hidden" r:id="rId5"/>
  </sheets>
  <definedNames>
    <definedName name="_xlnm.Print_Area" localSheetId="0">'VT Standard configs'!$A$1:$M$263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11" i="4" l="1"/>
  <c r="O411" i="4"/>
  <c r="P411" i="4"/>
  <c r="Q411" i="4"/>
  <c r="R411" i="4"/>
  <c r="S411" i="4"/>
  <c r="T411" i="4"/>
  <c r="U411" i="4"/>
  <c r="N416" i="4"/>
  <c r="O416" i="4"/>
  <c r="P416" i="4"/>
  <c r="Q416" i="4"/>
  <c r="R416" i="4"/>
  <c r="S416" i="4"/>
  <c r="T416" i="4"/>
  <c r="U416" i="4"/>
  <c r="M416" i="4"/>
  <c r="M411" i="4"/>
  <c r="N406" i="4"/>
  <c r="O406" i="4"/>
  <c r="P406" i="4"/>
  <c r="Q406" i="4"/>
  <c r="R406" i="4"/>
  <c r="S406" i="4"/>
  <c r="T406" i="4"/>
  <c r="U406" i="4"/>
  <c r="N401" i="4"/>
  <c r="O401" i="4"/>
  <c r="P401" i="4"/>
  <c r="Q401" i="4"/>
  <c r="R401" i="4"/>
  <c r="S401" i="4"/>
  <c r="T401" i="4"/>
  <c r="U401" i="4"/>
  <c r="M401" i="4"/>
  <c r="M406" i="4"/>
  <c r="M92" i="4" l="1"/>
  <c r="M98" i="4"/>
  <c r="U34" i="4"/>
  <c r="U54" i="4" s="1"/>
  <c r="T34" i="4"/>
  <c r="S34" i="4"/>
  <c r="R34" i="4"/>
  <c r="R35" i="4" s="1"/>
  <c r="P34" i="4"/>
  <c r="P35" i="4" s="1"/>
  <c r="O34" i="4"/>
  <c r="O35" i="4" s="1"/>
  <c r="N34" i="4"/>
  <c r="N35" i="4" s="1"/>
  <c r="M34" i="4"/>
  <c r="M35" i="4" s="1"/>
  <c r="N239" i="4"/>
  <c r="O239" i="4"/>
  <c r="P239" i="4"/>
  <c r="Q239" i="4"/>
  <c r="R239" i="4"/>
  <c r="S239" i="4"/>
  <c r="T239" i="4"/>
  <c r="U239" i="4"/>
  <c r="N240" i="4"/>
  <c r="O240" i="4"/>
  <c r="P240" i="4"/>
  <c r="Q240" i="4"/>
  <c r="R240" i="4"/>
  <c r="S240" i="4"/>
  <c r="T240" i="4"/>
  <c r="U240" i="4"/>
  <c r="M240" i="4"/>
  <c r="M239" i="4"/>
  <c r="M236" i="4"/>
  <c r="M237" i="4"/>
  <c r="U35" i="4" l="1"/>
  <c r="U58" i="4" s="1"/>
  <c r="U241" i="4"/>
  <c r="U236" i="4"/>
  <c r="U292" i="4"/>
  <c r="U293" i="4"/>
  <c r="N305" i="4" l="1"/>
  <c r="O305" i="4"/>
  <c r="P305" i="4"/>
  <c r="Q305" i="4"/>
  <c r="R305" i="4"/>
  <c r="S305" i="4"/>
  <c r="T305" i="4"/>
  <c r="U305" i="4"/>
  <c r="N303" i="4"/>
  <c r="O303" i="4"/>
  <c r="P303" i="4"/>
  <c r="Q303" i="4"/>
  <c r="R303" i="4"/>
  <c r="S303" i="4"/>
  <c r="T303" i="4"/>
  <c r="U303" i="4"/>
  <c r="N334" i="4"/>
  <c r="O334" i="4"/>
  <c r="P334" i="4"/>
  <c r="Q334" i="4"/>
  <c r="R334" i="4"/>
  <c r="S334" i="4"/>
  <c r="T334" i="4"/>
  <c r="U334" i="4"/>
  <c r="N345" i="4"/>
  <c r="O345" i="4"/>
  <c r="P345" i="4"/>
  <c r="Q345" i="4"/>
  <c r="R345" i="4"/>
  <c r="S345" i="4"/>
  <c r="T345" i="4"/>
  <c r="U345" i="4"/>
  <c r="M345" i="4"/>
  <c r="M334" i="4"/>
  <c r="M305" i="4"/>
  <c r="M303" i="4"/>
  <c r="N423" i="4"/>
  <c r="O423" i="4"/>
  <c r="P423" i="4"/>
  <c r="Q423" i="4"/>
  <c r="R423" i="4"/>
  <c r="S423" i="4"/>
  <c r="T423" i="4"/>
  <c r="U423" i="4"/>
  <c r="N420" i="4"/>
  <c r="O420" i="4"/>
  <c r="P420" i="4"/>
  <c r="Q420" i="4"/>
  <c r="R420" i="4"/>
  <c r="S420" i="4"/>
  <c r="T420" i="4"/>
  <c r="U420" i="4"/>
  <c r="N394" i="4"/>
  <c r="O394" i="4"/>
  <c r="P394" i="4"/>
  <c r="Q394" i="4"/>
  <c r="R394" i="4"/>
  <c r="S394" i="4"/>
  <c r="T394" i="4"/>
  <c r="U394" i="4"/>
  <c r="M389" i="4"/>
  <c r="N388" i="4"/>
  <c r="O388" i="4"/>
  <c r="P388" i="4"/>
  <c r="Q388" i="4"/>
  <c r="R388" i="4"/>
  <c r="S388" i="4"/>
  <c r="T388" i="4"/>
  <c r="U388" i="4"/>
  <c r="N389" i="4"/>
  <c r="O389" i="4"/>
  <c r="P389" i="4"/>
  <c r="Q389" i="4"/>
  <c r="R389" i="4"/>
  <c r="S389" i="4"/>
  <c r="T389" i="4"/>
  <c r="U389" i="4"/>
  <c r="N387" i="4"/>
  <c r="O387" i="4"/>
  <c r="P387" i="4"/>
  <c r="Q387" i="4"/>
  <c r="R387" i="4"/>
  <c r="S387" i="4"/>
  <c r="T387" i="4"/>
  <c r="U387" i="4"/>
  <c r="M388" i="4"/>
  <c r="M384" i="4"/>
  <c r="N384" i="4"/>
  <c r="O384" i="4"/>
  <c r="P384" i="4"/>
  <c r="Q384" i="4"/>
  <c r="R384" i="4"/>
  <c r="S384" i="4"/>
  <c r="T384" i="4"/>
  <c r="U384" i="4"/>
  <c r="Q80" i="4"/>
  <c r="U62" i="4"/>
  <c r="Q62" i="4"/>
  <c r="P62" i="4"/>
  <c r="O62" i="4"/>
  <c r="N62" i="4"/>
  <c r="M62" i="4"/>
  <c r="R62" i="4"/>
  <c r="S62" i="4"/>
  <c r="T62" i="4"/>
  <c r="U106" i="4"/>
  <c r="U105" i="4"/>
  <c r="U102" i="4"/>
  <c r="U101" i="4"/>
  <c r="U99" i="4"/>
  <c r="U98" i="4"/>
  <c r="U94" i="4"/>
  <c r="U92" i="4"/>
  <c r="T106" i="4"/>
  <c r="T105" i="4"/>
  <c r="T102" i="4"/>
  <c r="T101" i="4"/>
  <c r="T99" i="4"/>
  <c r="T98" i="4"/>
  <c r="T94" i="4"/>
  <c r="T92" i="4"/>
  <c r="S106" i="4"/>
  <c r="S105" i="4"/>
  <c r="S102" i="4"/>
  <c r="S101" i="4"/>
  <c r="S99" i="4"/>
  <c r="S98" i="4"/>
  <c r="S94" i="4"/>
  <c r="S92" i="4"/>
  <c r="R106" i="4"/>
  <c r="R105" i="4"/>
  <c r="R102" i="4"/>
  <c r="R101" i="4"/>
  <c r="R99" i="4"/>
  <c r="R98" i="4"/>
  <c r="R94" i="4"/>
  <c r="R92" i="4"/>
  <c r="Q106" i="4"/>
  <c r="Q105" i="4"/>
  <c r="Q102" i="4"/>
  <c r="Q101" i="4"/>
  <c r="Q99" i="4"/>
  <c r="Q98" i="4"/>
  <c r="Q94" i="4"/>
  <c r="Q92" i="4"/>
  <c r="P106" i="4"/>
  <c r="P105" i="4"/>
  <c r="P102" i="4"/>
  <c r="P101" i="4"/>
  <c r="P99" i="4"/>
  <c r="P98" i="4"/>
  <c r="P94" i="4"/>
  <c r="P92" i="4"/>
  <c r="O106" i="4"/>
  <c r="O105" i="4"/>
  <c r="O102" i="4"/>
  <c r="O101" i="4"/>
  <c r="O99" i="4"/>
  <c r="O98" i="4"/>
  <c r="O94" i="4"/>
  <c r="O92" i="4"/>
  <c r="N106" i="4"/>
  <c r="N105" i="4"/>
  <c r="N102" i="4"/>
  <c r="N101" i="4"/>
  <c r="N99" i="4"/>
  <c r="N98" i="4"/>
  <c r="N94" i="4"/>
  <c r="N92" i="4"/>
  <c r="M106" i="4"/>
  <c r="P396" i="4"/>
  <c r="P397" i="4" s="1" a="1"/>
  <c r="P397" i="4" s="1"/>
  <c r="R396" i="4"/>
  <c r="R397" i="4" s="1" a="1"/>
  <c r="R397" i="4" s="1"/>
  <c r="S396" i="4"/>
  <c r="S397" i="4" s="1" a="1"/>
  <c r="S397" i="4" s="1"/>
  <c r="T396" i="4"/>
  <c r="T397" i="4" s="1" a="1"/>
  <c r="T397" i="4" s="1"/>
  <c r="U396" i="4"/>
  <c r="U397" i="4" s="1" a="1"/>
  <c r="U397" i="4" s="1"/>
  <c r="P233" i="4"/>
  <c r="P234" i="4" s="1"/>
  <c r="R233" i="4"/>
  <c r="R234" i="4" s="1"/>
  <c r="S233" i="4"/>
  <c r="T233" i="4"/>
  <c r="U233" i="4"/>
  <c r="U234" i="4" s="1"/>
  <c r="P342" i="4"/>
  <c r="R342" i="4"/>
  <c r="S342" i="4"/>
  <c r="T342" i="4"/>
  <c r="U342" i="4"/>
  <c r="N339" i="4"/>
  <c r="O339" i="4"/>
  <c r="P339" i="4"/>
  <c r="Q339" i="4"/>
  <c r="R339" i="4"/>
  <c r="S339" i="4"/>
  <c r="T339" i="4"/>
  <c r="U339" i="4"/>
  <c r="P340" i="4"/>
  <c r="R340" i="4"/>
  <c r="S340" i="4"/>
  <c r="T340" i="4"/>
  <c r="U340" i="4"/>
  <c r="P331" i="4"/>
  <c r="R331" i="4"/>
  <c r="S331" i="4"/>
  <c r="T331" i="4"/>
  <c r="U331" i="4"/>
  <c r="N328" i="4"/>
  <c r="O328" i="4"/>
  <c r="P328" i="4"/>
  <c r="Q328" i="4"/>
  <c r="R328" i="4"/>
  <c r="S328" i="4"/>
  <c r="T328" i="4"/>
  <c r="U328" i="4"/>
  <c r="P329" i="4"/>
  <c r="R329" i="4"/>
  <c r="S329" i="4"/>
  <c r="T329" i="4"/>
  <c r="U329" i="4"/>
  <c r="P322" i="4"/>
  <c r="R322" i="4"/>
  <c r="S322" i="4"/>
  <c r="T322" i="4"/>
  <c r="U322" i="4"/>
  <c r="N323" i="4"/>
  <c r="O323" i="4"/>
  <c r="P323" i="4"/>
  <c r="Q323" i="4"/>
  <c r="R323" i="4"/>
  <c r="S323" i="4"/>
  <c r="T323" i="4"/>
  <c r="U323" i="4"/>
  <c r="P320" i="4"/>
  <c r="R320" i="4"/>
  <c r="S320" i="4"/>
  <c r="T320" i="4"/>
  <c r="U320" i="4"/>
  <c r="P316" i="4"/>
  <c r="R316" i="4"/>
  <c r="S316" i="4"/>
  <c r="T316" i="4"/>
  <c r="U316" i="4"/>
  <c r="N313" i="4"/>
  <c r="O313" i="4"/>
  <c r="P313" i="4"/>
  <c r="Q313" i="4"/>
  <c r="R313" i="4"/>
  <c r="S313" i="4"/>
  <c r="T313" i="4"/>
  <c r="U313" i="4"/>
  <c r="P314" i="4"/>
  <c r="R314" i="4"/>
  <c r="S314" i="4"/>
  <c r="T314" i="4"/>
  <c r="U314" i="4"/>
  <c r="M339" i="4"/>
  <c r="M328" i="4"/>
  <c r="M323" i="4"/>
  <c r="M313" i="4"/>
  <c r="U237" i="4" l="1"/>
  <c r="U238" i="4" s="1"/>
  <c r="U243" i="4"/>
  <c r="T237" i="4"/>
  <c r="T238" i="4" s="1"/>
  <c r="T243" i="4"/>
  <c r="S237" i="4"/>
  <c r="S238" i="4" s="1"/>
  <c r="S243" i="4"/>
  <c r="R237" i="4"/>
  <c r="R238" i="4" s="1"/>
  <c r="R243" i="4"/>
  <c r="P237" i="4"/>
  <c r="P238" i="4" s="1"/>
  <c r="P243" i="4"/>
  <c r="M423" i="4"/>
  <c r="M420" i="4"/>
  <c r="M417" i="4"/>
  <c r="U418" i="4"/>
  <c r="R408" i="4"/>
  <c r="P408" i="4"/>
  <c r="M105" i="4"/>
  <c r="N377" i="4"/>
  <c r="N424" i="4" s="1"/>
  <c r="O377" i="4"/>
  <c r="O424" i="4" s="1"/>
  <c r="P377" i="4"/>
  <c r="P424" i="4" s="1"/>
  <c r="Q377" i="4"/>
  <c r="Q424" i="4" s="1"/>
  <c r="R377" i="4"/>
  <c r="R424" i="4" s="1"/>
  <c r="S377" i="4"/>
  <c r="S424" i="4" s="1"/>
  <c r="T377" i="4"/>
  <c r="T424" i="4" s="1"/>
  <c r="U377" i="4"/>
  <c r="U424" i="4" s="1"/>
  <c r="M377" i="4"/>
  <c r="M424" i="4" s="1"/>
  <c r="S408" i="4" l="1"/>
  <c r="S403" i="4"/>
  <c r="S413" i="4"/>
  <c r="S418" i="4"/>
  <c r="R403" i="4"/>
  <c r="P413" i="4"/>
  <c r="P403" i="4"/>
  <c r="R413" i="4"/>
  <c r="T408" i="4"/>
  <c r="T418" i="4"/>
  <c r="T413" i="4"/>
  <c r="T403" i="4"/>
  <c r="U403" i="4"/>
  <c r="U408" i="4"/>
  <c r="U413" i="4"/>
  <c r="P418" i="4"/>
  <c r="R418" i="4"/>
  <c r="N417" i="4"/>
  <c r="O417" i="4"/>
  <c r="P417" i="4"/>
  <c r="Q417" i="4"/>
  <c r="R417" i="4"/>
  <c r="S417" i="4"/>
  <c r="T417" i="4"/>
  <c r="U417" i="4"/>
  <c r="U407" i="4"/>
  <c r="U412" i="4"/>
  <c r="N412" i="4"/>
  <c r="O412" i="4"/>
  <c r="P412" i="4"/>
  <c r="Q412" i="4"/>
  <c r="R412" i="4"/>
  <c r="S412" i="4"/>
  <c r="T412" i="4"/>
  <c r="N407" i="4"/>
  <c r="O407" i="4"/>
  <c r="P407" i="4"/>
  <c r="Q407" i="4"/>
  <c r="R407" i="4"/>
  <c r="S407" i="4"/>
  <c r="T407" i="4"/>
  <c r="N402" i="4"/>
  <c r="O402" i="4"/>
  <c r="P402" i="4"/>
  <c r="Q402" i="4"/>
  <c r="R402" i="4"/>
  <c r="S402" i="4"/>
  <c r="T402" i="4"/>
  <c r="U402" i="4"/>
  <c r="M412" i="4" l="1"/>
  <c r="M407" i="4"/>
  <c r="M402" i="4"/>
  <c r="N80" i="4"/>
  <c r="N86" i="4" s="1"/>
  <c r="N87" i="4" s="1"/>
  <c r="O80" i="4"/>
  <c r="O81" i="4" s="1"/>
  <c r="P80" i="4"/>
  <c r="P82" i="4" s="1"/>
  <c r="P83" i="4" s="1"/>
  <c r="Q81" i="4"/>
  <c r="R80" i="4"/>
  <c r="R82" i="4" s="1"/>
  <c r="R83" i="4" s="1"/>
  <c r="S80" i="4"/>
  <c r="S86" i="4" s="1"/>
  <c r="S87" i="4" s="1"/>
  <c r="T80" i="4"/>
  <c r="T86" i="4" s="1"/>
  <c r="T87" i="4" s="1"/>
  <c r="U80" i="4"/>
  <c r="U82" i="4" s="1"/>
  <c r="U83" i="4" s="1"/>
  <c r="P236" i="4" l="1"/>
  <c r="P241" i="4"/>
  <c r="R236" i="4"/>
  <c r="R241" i="4"/>
  <c r="S236" i="4"/>
  <c r="S241" i="4"/>
  <c r="M238" i="4"/>
  <c r="M241" i="4"/>
  <c r="T236" i="4"/>
  <c r="T241" i="4"/>
  <c r="P54" i="4"/>
  <c r="R54" i="4"/>
  <c r="S54" i="4"/>
  <c r="T54" i="4"/>
  <c r="M54" i="4"/>
  <c r="P293" i="4"/>
  <c r="P292" i="4"/>
  <c r="R293" i="4"/>
  <c r="R292" i="4"/>
  <c r="S293" i="4"/>
  <c r="S292" i="4"/>
  <c r="T293" i="4"/>
  <c r="T292" i="4"/>
  <c r="S104" i="4"/>
  <c r="P104" i="4"/>
  <c r="R104" i="4"/>
  <c r="T104" i="4"/>
  <c r="U104" i="4"/>
  <c r="R58" i="4"/>
  <c r="S35" i="4"/>
  <c r="M104" i="4"/>
  <c r="P58" i="4"/>
  <c r="T35" i="4"/>
  <c r="T82" i="4"/>
  <c r="T83" i="4" s="1"/>
  <c r="T81" i="4"/>
  <c r="U86" i="4"/>
  <c r="U87" i="4" s="1"/>
  <c r="O82" i="4"/>
  <c r="O83" i="4" s="1"/>
  <c r="P81" i="4"/>
  <c r="N81" i="4"/>
  <c r="R86" i="4"/>
  <c r="R87" i="4" s="1"/>
  <c r="Q82" i="4"/>
  <c r="Q83" i="4" s="1"/>
  <c r="U81" i="4"/>
  <c r="N82" i="4"/>
  <c r="N83" i="4" s="1"/>
  <c r="O86" i="4"/>
  <c r="O87" i="4" s="1"/>
  <c r="S81" i="4"/>
  <c r="Q86" i="4"/>
  <c r="Q87" i="4" s="1"/>
  <c r="R81" i="4"/>
  <c r="P86" i="4"/>
  <c r="P87" i="4" s="1"/>
  <c r="S82" i="4"/>
  <c r="S83" i="4" s="1"/>
  <c r="M394" i="4"/>
  <c r="S58" i="4" l="1"/>
  <c r="S234" i="4"/>
  <c r="S244" i="4" s="1"/>
  <c r="T58" i="4"/>
  <c r="T234" i="4"/>
  <c r="M103" i="4"/>
  <c r="M58" i="4"/>
  <c r="U244" i="4"/>
  <c r="U103" i="4"/>
  <c r="T244" i="4"/>
  <c r="T103" i="4"/>
  <c r="P244" i="4"/>
  <c r="P103" i="4"/>
  <c r="S103" i="4"/>
  <c r="R244" i="4"/>
  <c r="R103" i="4"/>
  <c r="N383" i="4"/>
  <c r="O383" i="4"/>
  <c r="P383" i="4"/>
  <c r="Q383" i="4"/>
  <c r="R383" i="4"/>
  <c r="S383" i="4"/>
  <c r="T383" i="4"/>
  <c r="U383" i="4"/>
  <c r="M383" i="4"/>
  <c r="N295" i="4" l="1"/>
  <c r="O295" i="4"/>
  <c r="P295" i="4"/>
  <c r="Q295" i="4"/>
  <c r="M295" i="4"/>
  <c r="R295" i="4"/>
  <c r="S295" i="4"/>
  <c r="T295" i="4"/>
  <c r="U295" i="4"/>
  <c r="Q34" i="4" l="1"/>
  <c r="Q37" i="4" s="1"/>
  <c r="M43" i="4"/>
  <c r="U352" i="4"/>
  <c r="U351" i="4"/>
  <c r="T352" i="4"/>
  <c r="T351" i="4"/>
  <c r="S351" i="4"/>
  <c r="S352" i="4"/>
  <c r="R352" i="4"/>
  <c r="R351" i="4"/>
  <c r="Q352" i="4"/>
  <c r="Q351" i="4"/>
  <c r="P352" i="4"/>
  <c r="P351" i="4"/>
  <c r="O352" i="4"/>
  <c r="O351" i="4"/>
  <c r="N351" i="4"/>
  <c r="N352" i="4"/>
  <c r="M352" i="4"/>
  <c r="M351" i="4"/>
  <c r="N337" i="4"/>
  <c r="O337" i="4"/>
  <c r="P337" i="4"/>
  <c r="Q337" i="4"/>
  <c r="R337" i="4"/>
  <c r="S337" i="4"/>
  <c r="T337" i="4"/>
  <c r="U337" i="4"/>
  <c r="P344" i="4"/>
  <c r="R344" i="4"/>
  <c r="S344" i="4"/>
  <c r="T344" i="4"/>
  <c r="U344" i="4"/>
  <c r="M337" i="4"/>
  <c r="R306" i="4"/>
  <c r="R301" i="4"/>
  <c r="R302" i="4" s="1"/>
  <c r="M45" i="4"/>
  <c r="Q35" i="4" l="1"/>
  <c r="N236" i="4"/>
  <c r="O236" i="4"/>
  <c r="O241" i="4"/>
  <c r="Q236" i="4"/>
  <c r="M293" i="4"/>
  <c r="M292" i="4"/>
  <c r="O54" i="4"/>
  <c r="N54" i="4"/>
  <c r="Q54" i="4"/>
  <c r="M396" i="4"/>
  <c r="M397" i="4" s="1" a="1"/>
  <c r="M397" i="4" s="1"/>
  <c r="O104" i="4"/>
  <c r="Q104" i="4"/>
  <c r="N104" i="4"/>
  <c r="N45" i="4"/>
  <c r="M278" i="4"/>
  <c r="M279" i="4" s="1" a="1"/>
  <c r="M279" i="4" s="1"/>
  <c r="M340" i="4"/>
  <c r="M342" i="4"/>
  <c r="M331" i="4"/>
  <c r="M329" i="4"/>
  <c r="M322" i="4"/>
  <c r="M314" i="4"/>
  <c r="M320" i="4"/>
  <c r="M316" i="4"/>
  <c r="N41" i="4"/>
  <c r="N241" i="4" s="1"/>
  <c r="Q58" i="4"/>
  <c r="O58" i="4"/>
  <c r="O45" i="4"/>
  <c r="O396" i="4" s="1"/>
  <c r="O397" i="4" s="1" a="1"/>
  <c r="O397" i="4" s="1"/>
  <c r="M233" i="4"/>
  <c r="M243" i="4" s="1"/>
  <c r="N349" i="4"/>
  <c r="O349" i="4"/>
  <c r="P349" i="4"/>
  <c r="Q349" i="4"/>
  <c r="R349" i="4"/>
  <c r="S349" i="4"/>
  <c r="T349" i="4"/>
  <c r="U349" i="4"/>
  <c r="N350" i="4"/>
  <c r="O350" i="4"/>
  <c r="P350" i="4"/>
  <c r="Q350" i="4"/>
  <c r="R350" i="4"/>
  <c r="S350" i="4"/>
  <c r="T350" i="4"/>
  <c r="U350" i="4"/>
  <c r="N326" i="4"/>
  <c r="O326" i="4"/>
  <c r="P326" i="4"/>
  <c r="Q326" i="4"/>
  <c r="R326" i="4"/>
  <c r="S326" i="4"/>
  <c r="T326" i="4"/>
  <c r="U326" i="4"/>
  <c r="P333" i="4"/>
  <c r="R333" i="4"/>
  <c r="S333" i="4"/>
  <c r="T333" i="4"/>
  <c r="U333" i="4"/>
  <c r="P318" i="4"/>
  <c r="R318" i="4"/>
  <c r="S318" i="4"/>
  <c r="T318" i="4"/>
  <c r="U318" i="4"/>
  <c r="N304" i="4"/>
  <c r="O304" i="4"/>
  <c r="P304" i="4"/>
  <c r="Q304" i="4"/>
  <c r="R304" i="4"/>
  <c r="S304" i="4"/>
  <c r="T304" i="4"/>
  <c r="U304" i="4"/>
  <c r="M234" i="4" l="1"/>
  <c r="M244" i="4" s="1"/>
  <c r="N293" i="4"/>
  <c r="O292" i="4"/>
  <c r="N292" i="4"/>
  <c r="O293" i="4"/>
  <c r="O103" i="4"/>
  <c r="Q103" i="4"/>
  <c r="Q318" i="4"/>
  <c r="O408" i="4"/>
  <c r="O403" i="4"/>
  <c r="O413" i="4"/>
  <c r="O418" i="4"/>
  <c r="O331" i="4"/>
  <c r="O329" i="4"/>
  <c r="O316" i="4"/>
  <c r="O314" i="4"/>
  <c r="O233" i="4"/>
  <c r="O342" i="4"/>
  <c r="O340" i="4"/>
  <c r="O322" i="4"/>
  <c r="O320" i="4"/>
  <c r="M413" i="4"/>
  <c r="M403" i="4"/>
  <c r="M418" i="4"/>
  <c r="M408" i="4"/>
  <c r="Q333" i="4"/>
  <c r="O344" i="4"/>
  <c r="Q344" i="4"/>
  <c r="O318" i="4"/>
  <c r="O333" i="4"/>
  <c r="P332" i="4"/>
  <c r="R332" i="4"/>
  <c r="U332" i="4"/>
  <c r="R308" i="4"/>
  <c r="T332" i="4"/>
  <c r="S332" i="4"/>
  <c r="U306" i="4"/>
  <c r="U301" i="4"/>
  <c r="U302" i="4" s="1"/>
  <c r="T301" i="4"/>
  <c r="T302" i="4" s="1"/>
  <c r="S306" i="4"/>
  <c r="S301" i="4"/>
  <c r="S302" i="4" s="1"/>
  <c r="P306" i="4"/>
  <c r="P301" i="4"/>
  <c r="P302" i="4" s="1"/>
  <c r="O243" i="4" l="1"/>
  <c r="O234" i="4"/>
  <c r="O244" i="4" s="1"/>
  <c r="O237" i="4"/>
  <c r="O238" i="4" s="1"/>
  <c r="T306" i="4"/>
  <c r="T308" i="4" s="1"/>
  <c r="P278" i="4"/>
  <c r="P279" i="4" s="1" a="1"/>
  <c r="P279" i="4" s="1"/>
  <c r="R278" i="4"/>
  <c r="R279" i="4" s="1" a="1"/>
  <c r="R279" i="4" s="1"/>
  <c r="S278" i="4"/>
  <c r="S279" i="4" s="1" a="1"/>
  <c r="S279" i="4" s="1"/>
  <c r="T278" i="4"/>
  <c r="T279" i="4" s="1" a="1"/>
  <c r="T279" i="4" s="1"/>
  <c r="U278" i="4"/>
  <c r="U279" i="4" s="1" a="1"/>
  <c r="U279" i="4" s="1"/>
  <c r="U44" i="4"/>
  <c r="S43" i="4"/>
  <c r="S44" i="4" s="1"/>
  <c r="T43" i="4"/>
  <c r="T44" i="4" s="1"/>
  <c r="U42" i="4"/>
  <c r="U369" i="4" s="1"/>
  <c r="U38" i="4"/>
  <c r="U3" i="4"/>
  <c r="T42" i="4"/>
  <c r="T60" i="4"/>
  <c r="T3" i="4"/>
  <c r="S42" i="4"/>
  <c r="S38" i="4"/>
  <c r="S3" i="4"/>
  <c r="R3" i="4"/>
  <c r="R43" i="4"/>
  <c r="R44" i="4" s="1"/>
  <c r="R42" i="4"/>
  <c r="R38" i="4"/>
  <c r="Q45" i="4"/>
  <c r="O43" i="4"/>
  <c r="O44" i="4" s="1"/>
  <c r="P43" i="4"/>
  <c r="P44" i="4" s="1"/>
  <c r="N43" i="4"/>
  <c r="N44" i="4" s="1"/>
  <c r="Q43" i="4"/>
  <c r="Q44" i="4" s="1"/>
  <c r="Q41" i="4"/>
  <c r="Q241" i="4" s="1"/>
  <c r="P42" i="4"/>
  <c r="P369" i="4" s="1"/>
  <c r="O42" i="4"/>
  <c r="O369" i="4" s="1"/>
  <c r="P38" i="4"/>
  <c r="P3" i="4"/>
  <c r="O38" i="4"/>
  <c r="N396" i="4"/>
  <c r="N397" i="4" s="1" a="1"/>
  <c r="N397" i="4" s="1"/>
  <c r="M42" i="4"/>
  <c r="M44" i="4"/>
  <c r="N42" i="4"/>
  <c r="N369" i="4" s="1"/>
  <c r="N38" i="4"/>
  <c r="N58" i="4"/>
  <c r="M326" i="4"/>
  <c r="U60" i="4" l="1"/>
  <c r="R60" i="4"/>
  <c r="S60" i="4"/>
  <c r="P60" i="4"/>
  <c r="Q42" i="4"/>
  <c r="Q369" i="4" s="1"/>
  <c r="Q374" i="4" s="1"/>
  <c r="Q292" i="4"/>
  <c r="Q293" i="4"/>
  <c r="Q306" i="4" s="1"/>
  <c r="N103" i="4"/>
  <c r="Q396" i="4"/>
  <c r="Q397" i="4" s="1" a="1"/>
  <c r="Q397" i="4" s="1"/>
  <c r="Q408" i="4" s="1"/>
  <c r="Q233" i="4"/>
  <c r="Q342" i="4"/>
  <c r="Q340" i="4"/>
  <c r="Q322" i="4"/>
  <c r="Q320" i="4"/>
  <c r="Q331" i="4"/>
  <c r="Q329" i="4"/>
  <c r="Q316" i="4"/>
  <c r="Q314" i="4"/>
  <c r="N331" i="4"/>
  <c r="N329" i="4"/>
  <c r="N316" i="4"/>
  <c r="N314" i="4"/>
  <c r="N233" i="4"/>
  <c r="N342" i="4"/>
  <c r="N340" i="4"/>
  <c r="N322" i="4"/>
  <c r="N320" i="4"/>
  <c r="N306" i="4"/>
  <c r="M369" i="4"/>
  <c r="M374" i="4" s="1"/>
  <c r="N344" i="4"/>
  <c r="O374" i="4"/>
  <c r="R369" i="4"/>
  <c r="R368" i="4"/>
  <c r="R375" i="4" s="1"/>
  <c r="P374" i="4"/>
  <c r="U374" i="4"/>
  <c r="U368" i="4"/>
  <c r="U375" i="4" s="1"/>
  <c r="T369" i="4"/>
  <c r="T368" i="4"/>
  <c r="T375" i="4" s="1"/>
  <c r="N374" i="4"/>
  <c r="S369" i="4"/>
  <c r="S368" i="4"/>
  <c r="S375" i="4" s="1"/>
  <c r="P368" i="4"/>
  <c r="P375" i="4" s="1"/>
  <c r="T362" i="4"/>
  <c r="T363" i="4"/>
  <c r="N362" i="4"/>
  <c r="N363" i="4"/>
  <c r="O362" i="4"/>
  <c r="O363" i="4"/>
  <c r="R362" i="4"/>
  <c r="R363" i="4"/>
  <c r="S362" i="4"/>
  <c r="S363" i="4"/>
  <c r="P362" i="4"/>
  <c r="P363" i="4"/>
  <c r="Q362" i="4"/>
  <c r="Q363" i="4"/>
  <c r="U362" i="4"/>
  <c r="U363" i="4"/>
  <c r="M363" i="4"/>
  <c r="M362" i="4"/>
  <c r="R280" i="4"/>
  <c r="R281" i="4" s="1" a="1"/>
  <c r="R281" i="4" s="1"/>
  <c r="R288" i="4"/>
  <c r="R289" i="4" s="1" a="1"/>
  <c r="R289" i="4" s="1"/>
  <c r="R286" i="4"/>
  <c r="R287" i="4" s="1" a="1"/>
  <c r="R287" i="4" s="1"/>
  <c r="M286" i="4"/>
  <c r="M287" i="4" s="1" a="1"/>
  <c r="M287" i="4" s="1"/>
  <c r="M288" i="4"/>
  <c r="M289" i="4" s="1" a="1"/>
  <c r="M289" i="4" s="1"/>
  <c r="M280" i="4"/>
  <c r="M281" i="4" s="1" a="1"/>
  <c r="M281" i="4" s="1"/>
  <c r="S280" i="4"/>
  <c r="S281" i="4" s="1" a="1"/>
  <c r="S281" i="4" s="1"/>
  <c r="S286" i="4"/>
  <c r="S287" i="4" s="1" a="1"/>
  <c r="S287" i="4" s="1"/>
  <c r="S288" i="4"/>
  <c r="S289" i="4" s="1" a="1"/>
  <c r="S289" i="4" s="1"/>
  <c r="T280" i="4"/>
  <c r="T281" i="4" s="1" a="1"/>
  <c r="T281" i="4" s="1"/>
  <c r="T288" i="4"/>
  <c r="T289" i="4" s="1" a="1"/>
  <c r="T289" i="4" s="1"/>
  <c r="T286" i="4"/>
  <c r="T287" i="4" s="1" a="1"/>
  <c r="T287" i="4" s="1"/>
  <c r="U288" i="4"/>
  <c r="U289" i="4" s="1" a="1"/>
  <c r="U289" i="4" s="1"/>
  <c r="U286" i="4"/>
  <c r="U287" i="4" s="1" a="1"/>
  <c r="U287" i="4" s="1"/>
  <c r="P280" i="4"/>
  <c r="P281" i="4" s="1" a="1"/>
  <c r="P281" i="4" s="1"/>
  <c r="P288" i="4"/>
  <c r="P289" i="4" s="1" a="1"/>
  <c r="P289" i="4" s="1"/>
  <c r="P286" i="4"/>
  <c r="P287" i="4" s="1" a="1"/>
  <c r="P287" i="4" s="1"/>
  <c r="U308" i="4"/>
  <c r="S308" i="4"/>
  <c r="P308" i="4"/>
  <c r="Q278" i="4"/>
  <c r="Q279" i="4" s="1" a="1"/>
  <c r="Q279" i="4" s="1"/>
  <c r="T335" i="4"/>
  <c r="T311" i="4"/>
  <c r="O311" i="4"/>
  <c r="R311" i="4"/>
  <c r="R335" i="4"/>
  <c r="S335" i="4"/>
  <c r="S311" i="4"/>
  <c r="N278" i="4"/>
  <c r="N279" i="4" s="1" a="1"/>
  <c r="N279" i="4" s="1"/>
  <c r="O3" i="4"/>
  <c r="O278" i="4"/>
  <c r="O279" i="4" s="1" a="1"/>
  <c r="O279" i="4" s="1"/>
  <c r="P311" i="4"/>
  <c r="P335" i="4"/>
  <c r="N318" i="4"/>
  <c r="N333" i="4"/>
  <c r="U311" i="4"/>
  <c r="U335" i="4"/>
  <c r="Q311" i="4"/>
  <c r="U280" i="4"/>
  <c r="Q3" i="4"/>
  <c r="Q38" i="4"/>
  <c r="N3" i="4"/>
  <c r="M333" i="4"/>
  <c r="M311" i="4"/>
  <c r="M317" i="4" s="1"/>
  <c r="M350" i="4"/>
  <c r="M349" i="4"/>
  <c r="M38" i="4"/>
  <c r="N243" i="4" l="1"/>
  <c r="N234" i="4"/>
  <c r="Q243" i="4"/>
  <c r="Q234" i="4"/>
  <c r="M60" i="4"/>
  <c r="Q244" i="4"/>
  <c r="Q237" i="4"/>
  <c r="Q238" i="4" s="1"/>
  <c r="N244" i="4"/>
  <c r="N237" i="4"/>
  <c r="N238" i="4" s="1"/>
  <c r="Q301" i="4"/>
  <c r="Q60" i="4"/>
  <c r="N301" i="4"/>
  <c r="N302" i="4" s="1"/>
  <c r="N368" i="4" s="1"/>
  <c r="N370" i="4" s="1"/>
  <c r="N373" i="4" s="1"/>
  <c r="N60" i="4"/>
  <c r="O301" i="4"/>
  <c r="O60" i="4"/>
  <c r="Q403" i="4"/>
  <c r="Q413" i="4"/>
  <c r="Q418" i="4"/>
  <c r="R317" i="4"/>
  <c r="R319" i="4"/>
  <c r="O317" i="4"/>
  <c r="O319" i="4"/>
  <c r="U343" i="4"/>
  <c r="U346" i="4" s="1"/>
  <c r="U281" i="4" a="1"/>
  <c r="U281" i="4" s="1"/>
  <c r="T317" i="4"/>
  <c r="T319" i="4"/>
  <c r="Q317" i="4"/>
  <c r="Q319" i="4"/>
  <c r="U317" i="4"/>
  <c r="U319" i="4"/>
  <c r="P317" i="4"/>
  <c r="P319" i="4"/>
  <c r="S317" i="4"/>
  <c r="S319" i="4"/>
  <c r="N408" i="4"/>
  <c r="N418" i="4"/>
  <c r="N403" i="4"/>
  <c r="N413" i="4"/>
  <c r="S370" i="4"/>
  <c r="S373" i="4" s="1"/>
  <c r="S374" i="4"/>
  <c r="T370" i="4"/>
  <c r="T373" i="4" s="1"/>
  <c r="T374" i="4"/>
  <c r="U370" i="4"/>
  <c r="U373" i="4" s="1"/>
  <c r="P370" i="4"/>
  <c r="P373" i="4" s="1"/>
  <c r="R370" i="4"/>
  <c r="R373" i="4" s="1"/>
  <c r="R374" i="4"/>
  <c r="M343" i="4"/>
  <c r="Q280" i="4"/>
  <c r="Q281" i="4" s="1" a="1"/>
  <c r="Q281" i="4" s="1"/>
  <c r="Q288" i="4"/>
  <c r="Q289" i="4" s="1" a="1"/>
  <c r="Q289" i="4" s="1"/>
  <c r="Q286" i="4"/>
  <c r="Q287" i="4" s="1" a="1"/>
  <c r="Q287" i="4" s="1"/>
  <c r="N286" i="4"/>
  <c r="N287" i="4" s="1" a="1"/>
  <c r="N287" i="4" s="1"/>
  <c r="N280" i="4"/>
  <c r="N281" i="4" s="1" a="1"/>
  <c r="N281" i="4" s="1"/>
  <c r="N288" i="4"/>
  <c r="N289" i="4" s="1" a="1"/>
  <c r="N289" i="4" s="1"/>
  <c r="O286" i="4"/>
  <c r="O287" i="4" s="1" a="1"/>
  <c r="O287" i="4" s="1"/>
  <c r="O288" i="4"/>
  <c r="O289" i="4" s="1" a="1"/>
  <c r="O289" i="4" s="1"/>
  <c r="N332" i="4"/>
  <c r="N335" i="4" s="1"/>
  <c r="O332" i="4"/>
  <c r="O335" i="4" s="1"/>
  <c r="Q332" i="4"/>
  <c r="Q335" i="4" s="1"/>
  <c r="N311" i="4"/>
  <c r="O280" i="4"/>
  <c r="O281" i="4" s="1" a="1"/>
  <c r="O281" i="4" s="1"/>
  <c r="M332" i="4"/>
  <c r="M335" i="4" s="1"/>
  <c r="M344" i="4"/>
  <c r="M304" i="4"/>
  <c r="M318" i="4"/>
  <c r="O302" i="4" l="1"/>
  <c r="O306" i="4"/>
  <c r="O368" i="4" s="1"/>
  <c r="O375" i="4" s="1"/>
  <c r="Q302" i="4"/>
  <c r="Q368" i="4"/>
  <c r="N308" i="4"/>
  <c r="N375" i="4"/>
  <c r="N317" i="4"/>
  <c r="N319" i="4"/>
  <c r="M301" i="4"/>
  <c r="M302" i="4" s="1"/>
  <c r="M306" i="4"/>
  <c r="M370" i="4" s="1"/>
  <c r="Q375" i="4"/>
  <c r="Q370" i="4"/>
  <c r="Q373" i="4" s="1"/>
  <c r="M346" i="4"/>
  <c r="O343" i="4"/>
  <c r="O346" i="4" s="1"/>
  <c r="P343" i="4"/>
  <c r="P346" i="4" s="1"/>
  <c r="R343" i="4"/>
  <c r="R346" i="4" s="1"/>
  <c r="T343" i="4"/>
  <c r="T346" i="4" s="1"/>
  <c r="S343" i="4"/>
  <c r="S346" i="4" s="1"/>
  <c r="Q308" i="4"/>
  <c r="M319" i="4"/>
  <c r="O308" i="4" l="1"/>
  <c r="O370" i="4"/>
  <c r="O373" i="4" s="1"/>
  <c r="M373" i="4"/>
  <c r="M368" i="4"/>
  <c r="N343" i="4"/>
  <c r="N346" i="4" s="1"/>
  <c r="Q343" i="4"/>
  <c r="Q346" i="4" s="1"/>
  <c r="M308" i="4"/>
  <c r="M3" i="4"/>
  <c r="M375" i="4" l="1"/>
  <c r="N180" i="4"/>
  <c r="M180" i="4"/>
  <c r="M94" i="4"/>
  <c r="M99" i="4"/>
  <c r="M101" i="4"/>
  <c r="M102" i="4"/>
  <c r="M80" i="4" l="1"/>
  <c r="M86" i="4" s="1"/>
  <c r="M82" i="4" l="1"/>
  <c r="M83" i="4" s="1"/>
  <c r="M87" i="4"/>
  <c r="M8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tc={119B67E8-5E79-4617-8834-1D78BE097AA6}</author>
  </authors>
  <commentList>
    <comment ref="A10" authorId="0" shapeId="0" xr:uid="{119B67E8-5E79-4617-8834-1D78BE097AA6}">
      <text>
        <t>[Threaded comment]
Your version of Excel allows you to read this threaded comment; however, any edits to it will get removed if the file is opened in a newer version of Excel. Learn more: https://go.microsoft.com/fwlink/?linkid=870924
Comment:
    EN81-20: 5.7.2.3.6</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<sst xmlns="http://schemas.openxmlformats.org/spreadsheetml/2006/main" count="2642" uniqueCount="763">
  <si>
    <t>Parameter</t>
  </si>
  <si>
    <t>UNIT</t>
  </si>
  <si>
    <t xml:space="preserve">VT schedules export </t>
  </si>
  <si>
    <t>LD export</t>
  </si>
  <si>
    <t>warning</t>
  </si>
  <si>
    <t>ID</t>
  </si>
  <si>
    <t>Notes</t>
  </si>
  <si>
    <t>Configuration short name</t>
  </si>
  <si>
    <t>No</t>
  </si>
  <si>
    <t>-</t>
  </si>
  <si>
    <t>System name</t>
  </si>
  <si>
    <t>yes</t>
  </si>
  <si>
    <t>Shaft0.L_SystemTab.SYS_ELEV_DESC</t>
  </si>
  <si>
    <t>Variable formula in the row</t>
  </si>
  <si>
    <t>Building part</t>
  </si>
  <si>
    <t>Buidlign section</t>
  </si>
  <si>
    <t>no</t>
  </si>
  <si>
    <t>Grid position</t>
  </si>
  <si>
    <t>Plan code</t>
  </si>
  <si>
    <t>Drawing No.: internal</t>
  </si>
  <si>
    <t>System category</t>
  </si>
  <si>
    <t>Traction - MR</t>
  </si>
  <si>
    <t>Traction - MRL</t>
  </si>
  <si>
    <t>Functions</t>
  </si>
  <si>
    <t>Construction use</t>
  </si>
  <si>
    <t>[y/n]</t>
  </si>
  <si>
    <t>Brand</t>
  </si>
  <si>
    <t>Factory number</t>
  </si>
  <si>
    <t>General Specification</t>
  </si>
  <si>
    <t>Group Control</t>
  </si>
  <si>
    <t>Counterweight location</t>
  </si>
  <si>
    <t>yes, info</t>
  </si>
  <si>
    <t>CWT-Left</t>
  </si>
  <si>
    <t>CWT-Right</t>
  </si>
  <si>
    <t>Load capacity</t>
  </si>
  <si>
    <t>[kg]</t>
  </si>
  <si>
    <t>Shaft0.L_SystemTab.SYS_ENTERED_LOAD</t>
  </si>
  <si>
    <t>Permissible number of persons</t>
  </si>
  <si>
    <t>[Pers.]</t>
  </si>
  <si>
    <t>Shaft0.L_SystemTab.SYS_ENTERED_PERSON</t>
  </si>
  <si>
    <t>Speed</t>
  </si>
  <si>
    <t>[m/s]</t>
  </si>
  <si>
    <t>Shaft0.L_SystemTab.SYS_TRAVEL_SPEED_UP</t>
  </si>
  <si>
    <t>Acceleration</t>
  </si>
  <si>
    <t>[m/s²]</t>
  </si>
  <si>
    <t>Jerk</t>
  </si>
  <si>
    <t>[m/s³]</t>
  </si>
  <si>
    <t>Travel height</t>
  </si>
  <si>
    <t>[m]</t>
  </si>
  <si>
    <t>Stops</t>
  </si>
  <si>
    <t>[Stck.]</t>
  </si>
  <si>
    <t>FLL.FLL_COUNT</t>
  </si>
  <si>
    <t xml:space="preserve">MANUAL </t>
  </si>
  <si>
    <t>Number of shaft doors</t>
  </si>
  <si>
    <t>Access type</t>
  </si>
  <si>
    <t>Front</t>
  </si>
  <si>
    <t>Front + Rear</t>
  </si>
  <si>
    <t>Accessible rooms / cwt safety</t>
  </si>
  <si>
    <t>Layout Information</t>
  </si>
  <si>
    <t>Cabin type/shape</t>
  </si>
  <si>
    <t>Deep</t>
  </si>
  <si>
    <t>Wide</t>
  </si>
  <si>
    <t>Cabin width (clear)</t>
  </si>
  <si>
    <t>[mm]</t>
  </si>
  <si>
    <t>Shaft0.Car.CW</t>
  </si>
  <si>
    <t>CW1</t>
  </si>
  <si>
    <t>RULES</t>
  </si>
  <si>
    <t>Cabin depth (clear)</t>
  </si>
  <si>
    <t>Shaft0.Car.CD</t>
  </si>
  <si>
    <t>CD1</t>
  </si>
  <si>
    <t>Cladding thickness each wall</t>
  </si>
  <si>
    <t xml:space="preserve">If no cladding insert 0 </t>
  </si>
  <si>
    <t>Clear cabin height</t>
  </si>
  <si>
    <t>Structural cabin height</t>
  </si>
  <si>
    <t>Shaft0.Car.HEIGHT</t>
  </si>
  <si>
    <t>TÜREINZUG VORNE</t>
  </si>
  <si>
    <t>Standard 30 mm</t>
  </si>
  <si>
    <t>TBC</t>
  </si>
  <si>
    <t>MUZ???</t>
  </si>
  <si>
    <t>Door width</t>
  </si>
  <si>
    <t>Door structural opening width</t>
  </si>
  <si>
    <t>Shaft0.Entries1.E0.Opening.T_AUSBR_B</t>
  </si>
  <si>
    <t>Door height</t>
  </si>
  <si>
    <t>is this always clear cabin height -100?</t>
  </si>
  <si>
    <t>Door structural opening height</t>
  </si>
  <si>
    <t>Door type</t>
  </si>
  <si>
    <t>2C</t>
  </si>
  <si>
    <t>4C</t>
  </si>
  <si>
    <t>Door fixation type</t>
  </si>
  <si>
    <t>insert rail 40/22</t>
  </si>
  <si>
    <t>Permissible sill load / Loading class</t>
  </si>
  <si>
    <t>EN81-40%</t>
  </si>
  <si>
    <t>EN81-60%</t>
  </si>
  <si>
    <t>LOP type and location</t>
  </si>
  <si>
    <t>in lift door frame L</t>
  </si>
  <si>
    <t>in lift door frame R</t>
  </si>
  <si>
    <t>flush wall panel L</t>
  </si>
  <si>
    <t>LIP type and location</t>
  </si>
  <si>
    <t>door frame side vertical</t>
  </si>
  <si>
    <t>panel above horizontal</t>
  </si>
  <si>
    <t>Lift maintenance panel type</t>
  </si>
  <si>
    <t>inside door jamb</t>
  </si>
  <si>
    <t>Lift maintenance panel location</t>
  </si>
  <si>
    <t>KABINENGRUNDFLÄCHE</t>
  </si>
  <si>
    <t>[m²]</t>
  </si>
  <si>
    <t>Shaft equipment fixation type</t>
  </si>
  <si>
    <t>insert rail 50/30</t>
  </si>
  <si>
    <t>anchor bolts</t>
  </si>
  <si>
    <t>Shaft width suggested</t>
  </si>
  <si>
    <t>RULES BASED</t>
  </si>
  <si>
    <t>Shaft width current planning</t>
  </si>
  <si>
    <t>Shaft division type</t>
  </si>
  <si>
    <t>only if not simplex</t>
  </si>
  <si>
    <t>structural wall</t>
  </si>
  <si>
    <t>Shaft division width</t>
  </si>
  <si>
    <t>Shaft depth suggested</t>
  </si>
  <si>
    <t>Shaft depth current planning</t>
  </si>
  <si>
    <t>Shaft head suggested</t>
  </si>
  <si>
    <t>Shaft0.HEAD</t>
  </si>
  <si>
    <t>Shaft head current planning</t>
  </si>
  <si>
    <t>Shaft pit suggested</t>
  </si>
  <si>
    <t>Shaft0.PIT</t>
  </si>
  <si>
    <t>Shaft pit current planning</t>
  </si>
  <si>
    <t>Machine room width suggested</t>
  </si>
  <si>
    <t>yes,info</t>
  </si>
  <si>
    <t>Machine room width current planning</t>
  </si>
  <si>
    <t>Machine room height suggested</t>
  </si>
  <si>
    <t>Machine room height current planning</t>
  </si>
  <si>
    <t>Lift vestibule width</t>
  </si>
  <si>
    <t>Lift vestibule depth</t>
  </si>
  <si>
    <t>Electrical &amp; HVAC</t>
  </si>
  <si>
    <t>Drive/Motor location</t>
  </si>
  <si>
    <t>MRL top</t>
  </si>
  <si>
    <t>Control / Operation panel location</t>
  </si>
  <si>
    <t>Number of trips per hour</t>
  </si>
  <si>
    <t>[1/h]</t>
  </si>
  <si>
    <t>Drive/Motor type</t>
  </si>
  <si>
    <t>VVVF</t>
  </si>
  <si>
    <t>Power grid voltage/type</t>
  </si>
  <si>
    <t>[V]</t>
  </si>
  <si>
    <t>Duty cycle (motor)</t>
  </si>
  <si>
    <t>[%]</t>
  </si>
  <si>
    <t>Drive/Motor Power</t>
  </si>
  <si>
    <t>[kW]</t>
  </si>
  <si>
    <t>Connected load</t>
  </si>
  <si>
    <t>[kVA]</t>
  </si>
  <si>
    <t>L_Projects.PROJ_USER_0</t>
  </si>
  <si>
    <t>Rated current</t>
  </si>
  <si>
    <t>[A]</t>
  </si>
  <si>
    <t>L_Projects.PROJ_USER_2</t>
  </si>
  <si>
    <t>Starting current (factor ≈ 2)</t>
  </si>
  <si>
    <t>Energy recovery</t>
  </si>
  <si>
    <t>Diversity factor</t>
  </si>
  <si>
    <t>[-]</t>
  </si>
  <si>
    <t>Energy consumption</t>
  </si>
  <si>
    <t>[kWh]</t>
  </si>
  <si>
    <t>Heat dissipation motor</t>
  </si>
  <si>
    <t>[kJ]</t>
  </si>
  <si>
    <t>L_Projects.PROJ_USER_3</t>
  </si>
  <si>
    <t>Temperature machine room / shaft</t>
  </si>
  <si>
    <t>[°C]</t>
  </si>
  <si>
    <t>5-40</t>
  </si>
  <si>
    <t>Rail weight car</t>
  </si>
  <si>
    <t>[kg/m]</t>
  </si>
  <si>
    <t>Force F1, F2 elevator rail segment</t>
  </si>
  <si>
    <t>[kN]</t>
  </si>
  <si>
    <t>Shaft0.Car.Frame.GuideList0.Force0.FZ
Shaft0.Car.Frame.GuideList1.Force0.FZ</t>
  </si>
  <si>
    <t xml:space="preserve">same value for both LD codes </t>
  </si>
  <si>
    <t>number of car buffers</t>
  </si>
  <si>
    <t>[St.]</t>
  </si>
  <si>
    <t>Force F3, each buffer</t>
  </si>
  <si>
    <t>Shaft0.Car.Frame.Buffer0.Force0.FZ</t>
  </si>
  <si>
    <t>Counterweight safety gear</t>
  </si>
  <si>
    <t>number of cwt buffers</t>
  </si>
  <si>
    <t>Rail weight cwt</t>
  </si>
  <si>
    <t>Force F4, per counterweight rail segment</t>
  </si>
  <si>
    <t>Shaft0.CW.Weight.GuideList0.Force0.FZ</t>
  </si>
  <si>
    <t>Force F5, per counterweight buffer</t>
  </si>
  <si>
    <t>Shaft0.CW.Weight.Buffer0.Force0.FZ</t>
  </si>
  <si>
    <t>Force F6, static shaft door</t>
  </si>
  <si>
    <t>Shaft0.Entries1.UBolt.Force0.FZ</t>
  </si>
  <si>
    <t>Force F7, static counterweight</t>
  </si>
  <si>
    <t>Shaft0.Entries2.UBolt.Force0.FZ</t>
  </si>
  <si>
    <t>Force F8, static cabin</t>
  </si>
  <si>
    <t>Shaft0.Entries3.UBolt.Force0.FZ</t>
  </si>
  <si>
    <t>Force Fx, cabin rail</t>
  </si>
  <si>
    <t>Shaft0.Car.Frame.GuideList0.Force0.FX</t>
  </si>
  <si>
    <t>Force Fy, cabint rail</t>
  </si>
  <si>
    <t>Shaft0.Car.Frame.GuideList0.Force0.FY</t>
  </si>
  <si>
    <t>Force Fx, counterweight rail</t>
  </si>
  <si>
    <t>Shaft0.CW.Weight.GuideList0.Force0.FX</t>
  </si>
  <si>
    <t>Force Fy, counterweight rail</t>
  </si>
  <si>
    <t>Shaft0.CW.Weight.GuideList0.Force0.FY</t>
  </si>
  <si>
    <t>EN81-28 emergency call</t>
  </si>
  <si>
    <t>EN81-70 Accessibility</t>
  </si>
  <si>
    <t>DIN EN17210 / 18040-1 Accessibility</t>
  </si>
  <si>
    <t>EN81-71 Vandalism category</t>
  </si>
  <si>
    <t>cat.</t>
  </si>
  <si>
    <t>EN81-72 Firefighter elevator</t>
  </si>
  <si>
    <t>EN81-73 Fire emergency return</t>
  </si>
  <si>
    <t>EN81-76 Evacuation functions</t>
  </si>
  <si>
    <t>types</t>
  </si>
  <si>
    <t>EN81-77 Seismic category</t>
  </si>
  <si>
    <t>EN81-58 Fire rated landing doors</t>
  </si>
  <si>
    <t>type</t>
  </si>
  <si>
    <t>Green building certification compliance</t>
  </si>
  <si>
    <t>Smoke management type</t>
  </si>
  <si>
    <t>Smoke extraction min. size netto</t>
  </si>
  <si>
    <t>mm²</t>
  </si>
  <si>
    <t>FAS interfaces as per spec</t>
  </si>
  <si>
    <t>n</t>
  </si>
  <si>
    <t>Main evacuation floor fire return and EEL EN81-76</t>
  </si>
  <si>
    <t>floor no.</t>
  </si>
  <si>
    <t>Alternate evacuation floor</t>
  </si>
  <si>
    <t>Emergency power</t>
  </si>
  <si>
    <t>Cascading evacuation control</t>
  </si>
  <si>
    <t>Type of emergency power</t>
  </si>
  <si>
    <t>UPS</t>
  </si>
  <si>
    <t>FCC panel interface as per spec</t>
  </si>
  <si>
    <t>2-way intercom firefighter lift</t>
  </si>
  <si>
    <t>self-rescue method firefighter lift</t>
  </si>
  <si>
    <t>BMS interfaces as per spec</t>
  </si>
  <si>
    <t>Lift monitoring</t>
  </si>
  <si>
    <t>ICT/AV interfaces as per spec</t>
  </si>
  <si>
    <t>In-car CCTV</t>
  </si>
  <si>
    <t>Access Control interface as per spec</t>
  </si>
  <si>
    <t>other Security interfaces as per spec.</t>
  </si>
  <si>
    <t>PAVA alarm interface car</t>
  </si>
  <si>
    <t>Sprinkler in shaft / Shunt trip</t>
  </si>
  <si>
    <t>Water management Firefighter and Evacuation lift</t>
  </si>
  <si>
    <t>other functions</t>
  </si>
  <si>
    <t>Interior Design Lifts</t>
  </si>
  <si>
    <t>Car wall panels</t>
  </si>
  <si>
    <t>Car wall panel recess reservation</t>
  </si>
  <si>
    <t>mm</t>
  </si>
  <si>
    <t>Suspended ceiling</t>
  </si>
  <si>
    <t>Flooring type</t>
  </si>
  <si>
    <t>Flooring thickness</t>
  </si>
  <si>
    <t>Car door panel</t>
  </si>
  <si>
    <t>Car door threshold</t>
  </si>
  <si>
    <t>Skirting type</t>
  </si>
  <si>
    <t>Skirting location</t>
  </si>
  <si>
    <t>Vertical Control panel surface</t>
  </si>
  <si>
    <t>Number and location of vertical control panels</t>
  </si>
  <si>
    <t>Hall Button shape/types</t>
  </si>
  <si>
    <t>XL Hall Button (EN81-70)</t>
  </si>
  <si>
    <t>Braille buttons (EN81-70)</t>
  </si>
  <si>
    <t>Horizontal control panel surface (EN81-70)</t>
  </si>
  <si>
    <t>Location of horizontal control panel (EN81-70)</t>
  </si>
  <si>
    <t>XL buttons horizontal panel (EN81-70)</t>
  </si>
  <si>
    <t>Tip-up seat (EN81-70)</t>
  </si>
  <si>
    <t>Induction loop</t>
  </si>
  <si>
    <t>Hall fixture cover plates</t>
  </si>
  <si>
    <t>Hall indicator cover plates</t>
  </si>
  <si>
    <t>Handrail type</t>
  </si>
  <si>
    <t>Handrail location</t>
  </si>
  <si>
    <t>Mirror type</t>
  </si>
  <si>
    <t>Mirror location</t>
  </si>
  <si>
    <t>Ram protection type</t>
  </si>
  <si>
    <t>Ram protection number and location</t>
  </si>
  <si>
    <t>Landing door panel</t>
  </si>
  <si>
    <t>Landing door threshold</t>
  </si>
  <si>
    <t>Lift door frame type</t>
  </si>
  <si>
    <t>Door frame surface</t>
  </si>
  <si>
    <t>Jamb type</t>
  </si>
  <si>
    <t>Jamb material &amp; surface</t>
  </si>
  <si>
    <t>Maintenance panel cover</t>
  </si>
  <si>
    <t>Maintenance panel type</t>
  </si>
  <si>
    <t>other design requirements</t>
  </si>
  <si>
    <t>Interior Design Escalator/Moving Walk</t>
  </si>
  <si>
    <t>Balustrade</t>
  </si>
  <si>
    <t>Balustrade Height</t>
  </si>
  <si>
    <t>Handrail</t>
  </si>
  <si>
    <t>Balustrade front plate cover</t>
  </si>
  <si>
    <t>Steps</t>
  </si>
  <si>
    <t>Step demarcation</t>
  </si>
  <si>
    <t>Access cover plate</t>
  </si>
  <si>
    <t>Comb</t>
  </si>
  <si>
    <t>Skirting inside and outside cover</t>
  </si>
  <si>
    <t>Decking inside and outside cover</t>
  </si>
  <si>
    <t>Truss side cover</t>
  </si>
  <si>
    <t>Truss soffit</t>
  </si>
  <si>
    <t>Skirt lighting</t>
  </si>
  <si>
    <t>Handrail lighting</t>
  </si>
  <si>
    <t>Understep lighting</t>
  </si>
  <si>
    <t>Comb lighting</t>
  </si>
  <si>
    <t>Automatic Rescue Device (ARD)</t>
  </si>
  <si>
    <t>Air conditioning</t>
  </si>
  <si>
    <t>Misuse</t>
  </si>
  <si>
    <t>Full load</t>
  </si>
  <si>
    <t>Bypass</t>
  </si>
  <si>
    <t>Advanced door opening</t>
  </si>
  <si>
    <t>Levelling tolerance</t>
  </si>
  <si>
    <t>Relevelling range</t>
  </si>
  <si>
    <t>Permissible rope stretch</t>
  </si>
  <si>
    <t>mm/100 kg</t>
  </si>
  <si>
    <t>Selective door control</t>
  </si>
  <si>
    <t>Access control</t>
  </si>
  <si>
    <t>Return to lobby function</t>
  </si>
  <si>
    <t>Priority key switch (car)</t>
  </si>
  <si>
    <t>Priority key switch (hall)</t>
  </si>
  <si>
    <t>Out-of-service key switch (hall)</t>
  </si>
  <si>
    <t>Freight lift vestibule monitoring</t>
  </si>
  <si>
    <t>Trip counter</t>
  </si>
  <si>
    <t>Hour meter</t>
  </si>
  <si>
    <t>Landing lock function</t>
  </si>
  <si>
    <t>Nudging Device</t>
  </si>
  <si>
    <t>Predefined Parking Stop</t>
  </si>
  <si>
    <t>Power saving mode (standby)</t>
  </si>
  <si>
    <t>Automatic fan</t>
  </si>
  <si>
    <t>Freight Loading function as per spec</t>
  </si>
  <si>
    <t>Door close button</t>
  </si>
  <si>
    <t>Induction loop (EN81-70)</t>
  </si>
  <si>
    <t>Other functions</t>
  </si>
  <si>
    <t>Lift Designer parameters</t>
  </si>
  <si>
    <t xml:space="preserve">Applied codes </t>
  </si>
  <si>
    <t>text</t>
  </si>
  <si>
    <t>L_StandardTab.STD_DESC</t>
  </si>
  <si>
    <t>text off all aplied codes from R101</t>
  </si>
  <si>
    <t xml:space="preserve">COP panel </t>
  </si>
  <si>
    <t>Shaft0.Car.Panel0.WALL</t>
  </si>
  <si>
    <t>3 - left, 4 right side (this one just changes sides, further arrangment required)</t>
  </si>
  <si>
    <t>Shaft0.Car.Panel0.X0</t>
  </si>
  <si>
    <t>wide cabin front panels:</t>
  </si>
  <si>
    <t>Second COP</t>
  </si>
  <si>
    <t>Shaft0.Car.Panel1.</t>
  </si>
  <si>
    <t>moce 44- off 40-on</t>
  </si>
  <si>
    <t>Second COP location</t>
  </si>
  <si>
    <t>Shaft0.Car.Panel1.WALL</t>
  </si>
  <si>
    <t>Secrond COP length</t>
  </si>
  <si>
    <t>Shaft0.Car.Panel1.X0</t>
  </si>
  <si>
    <t>Third COP on/off</t>
  </si>
  <si>
    <t>Shaft0.Car.Panel2.</t>
  </si>
  <si>
    <t>44off 40-on</t>
  </si>
  <si>
    <t>third COP loaction</t>
  </si>
  <si>
    <t>Shaft0.Car.Panel2.WALL</t>
  </si>
  <si>
    <t>Third COP length</t>
  </si>
  <si>
    <t>Shaft0.Car.Panel2.X0</t>
  </si>
  <si>
    <t>Left handrail</t>
  </si>
  <si>
    <t>Shaft0.Car.Design.Wall3.HandRails.MODE</t>
  </si>
  <si>
    <t>mode 8 on 44 off</t>
  </si>
  <si>
    <t xml:space="preserve">Right handrail </t>
  </si>
  <si>
    <t>Shaft0.Car.Design.Wall4.HandRails.MODE</t>
  </si>
  <si>
    <t>mode 40 on 44 off</t>
  </si>
  <si>
    <t>Cost</t>
  </si>
  <si>
    <t>Cost estimation</t>
  </si>
  <si>
    <t>[€]</t>
  </si>
  <si>
    <t>Cost calculation</t>
  </si>
  <si>
    <t>Schematics and Occupancies</t>
  </si>
  <si>
    <t xml:space="preserve">Level name </t>
  </si>
  <si>
    <t>6th floor (E6)</t>
  </si>
  <si>
    <t>Text</t>
  </si>
  <si>
    <t>FLL.Level8.Z_POT</t>
  </si>
  <si>
    <t>MANUAL</t>
  </si>
  <si>
    <t>5th floor (E5)</t>
  </si>
  <si>
    <t>FLL.Level7.Z_POT</t>
  </si>
  <si>
    <t>4th floor (E4)</t>
  </si>
  <si>
    <t>FLL.Level6.Z_POT</t>
  </si>
  <si>
    <t>3rd floor (E3)</t>
  </si>
  <si>
    <t>FLL.Level5.Z_POT</t>
  </si>
  <si>
    <t>2nd floor (E2)</t>
  </si>
  <si>
    <t>FLL.Level4.Z_POT</t>
  </si>
  <si>
    <t>1st floor (E1)</t>
  </si>
  <si>
    <t>FLL.Level3.Z_POT</t>
  </si>
  <si>
    <t>Ground floor (E0)</t>
  </si>
  <si>
    <t>FLL.Level2.Z_POT</t>
  </si>
  <si>
    <t>1st basement (E-1)</t>
  </si>
  <si>
    <t>FLL.Level1.Z_POT</t>
  </si>
  <si>
    <t>2nd basement (E-2)</t>
  </si>
  <si>
    <t>FLL.Level0.Z_POT</t>
  </si>
  <si>
    <t>Level name</t>
  </si>
  <si>
    <t>E6</t>
  </si>
  <si>
    <t>FLL.Level8.DESC</t>
  </si>
  <si>
    <t>E5</t>
  </si>
  <si>
    <t>FLL.Level7.DESC</t>
  </si>
  <si>
    <t>L5</t>
  </si>
  <si>
    <t>E4</t>
  </si>
  <si>
    <t>FLL.Level6.DESC</t>
  </si>
  <si>
    <t>L4</t>
  </si>
  <si>
    <t>E3</t>
  </si>
  <si>
    <t>FLL.Level5.DESC</t>
  </si>
  <si>
    <t>L3</t>
  </si>
  <si>
    <t>E2</t>
  </si>
  <si>
    <t>FLL.Level4.DESC</t>
  </si>
  <si>
    <t>L2</t>
  </si>
  <si>
    <t>E1</t>
  </si>
  <si>
    <t>FLL.Level3.DESC</t>
  </si>
  <si>
    <t>L1</t>
  </si>
  <si>
    <t>E0</t>
  </si>
  <si>
    <t>FLL.Level2.DESC</t>
  </si>
  <si>
    <t>L0</t>
  </si>
  <si>
    <t>E-1</t>
  </si>
  <si>
    <t>FLL.Level1.DESC</t>
  </si>
  <si>
    <t>L-1</t>
  </si>
  <si>
    <t>E-2</t>
  </si>
  <si>
    <t>FLL.Level0.DESC</t>
  </si>
  <si>
    <t>L-2</t>
  </si>
  <si>
    <t>Entrance Doors</t>
  </si>
  <si>
    <t>Door manufacturer choice</t>
  </si>
  <si>
    <t>Common component</t>
  </si>
  <si>
    <t>Meiller</t>
  </si>
  <si>
    <t>Front Entrance</t>
  </si>
  <si>
    <t>Type</t>
  </si>
  <si>
    <t>Front entrance</t>
  </si>
  <si>
    <t>RID</t>
  </si>
  <si>
    <t>Shaft0.Entries1.E0.ShaftDoor.</t>
  </si>
  <si>
    <t>*E0 replaced with each floor that exist</t>
  </si>
  <si>
    <t>Rear Entrance</t>
  </si>
  <si>
    <t>Rear entrance</t>
  </si>
  <si>
    <t>Shaft0.Entries2.E0.ShaftDoor.</t>
  </si>
  <si>
    <t xml:space="preserve">Car doors </t>
  </si>
  <si>
    <t>Front Car doors</t>
  </si>
  <si>
    <t>TYPE</t>
  </si>
  <si>
    <t>Front car doors</t>
  </si>
  <si>
    <t>Shaft0.Car.Door1.</t>
  </si>
  <si>
    <t xml:space="preserve">if doors we are looking for dont have RID then we need information about this </t>
  </si>
  <si>
    <t>Rear car doors</t>
  </si>
  <si>
    <t>Shaft0.Car.Door2.</t>
  </si>
  <si>
    <t>Lift arrangment tool</t>
  </si>
  <si>
    <t xml:space="preserve">walldistance CTW side </t>
  </si>
  <si>
    <t xml:space="preserve">wall distance non-CWT side </t>
  </si>
  <si>
    <t xml:space="preserve">offset door to center car front </t>
  </si>
  <si>
    <t>Shaft0.Car.Door1.CL_DIST</t>
  </si>
  <si>
    <t>offset door to car center rear</t>
  </si>
  <si>
    <t>Shaft0.Car.Door2.CL_DIST</t>
  </si>
  <si>
    <t xml:space="preserve">Shaft Width </t>
  </si>
  <si>
    <t>distance cwt / wall</t>
  </si>
  <si>
    <t>Shaft0.CW.Weight.COMP_DIST</t>
  </si>
  <si>
    <t xml:space="preserve">fixed 50= wall tolerance(25) +25 </t>
  </si>
  <si>
    <t>Cwt depth</t>
  </si>
  <si>
    <t>Shaft0.CW.Weight.DY</t>
  </si>
  <si>
    <t>LEFT distance FROM CAR</t>
  </si>
  <si>
    <t>Shaft0.Car.COMP_DIST_3</t>
  </si>
  <si>
    <t>Left car wall</t>
  </si>
  <si>
    <t>Shaft0.Car.WD3</t>
  </si>
  <si>
    <t>Almost always 25</t>
  </si>
  <si>
    <t>Car width</t>
  </si>
  <si>
    <t>REPEATED</t>
  </si>
  <si>
    <t>Right car wall</t>
  </si>
  <si>
    <t>Shaft0.Car.WD4</t>
  </si>
  <si>
    <t>RIGHT DIST CAR</t>
  </si>
  <si>
    <t>Shaft0.Car.COMP_DIST_4</t>
  </si>
  <si>
    <t>Rules based</t>
  </si>
  <si>
    <t>SW check</t>
  </si>
  <si>
    <t xml:space="preserve">Shaft depth </t>
  </si>
  <si>
    <t xml:space="preserve">Pick correct entrance based on opening </t>
  </si>
  <si>
    <t xml:space="preserve">1. Open Through </t>
  </si>
  <si>
    <t>Front pocket depth</t>
  </si>
  <si>
    <t>Shaft0.Entries1.E0.Pocket0.N_T</t>
  </si>
  <si>
    <t xml:space="preserve">Starting 0 </t>
  </si>
  <si>
    <t>Door / wall clearance front</t>
  </si>
  <si>
    <t>Shaft0.Entries1.E0.ShaftDoor.YN</t>
  </si>
  <si>
    <t>if std =25 if meiller = 0</t>
  </si>
  <si>
    <t>front door depth</t>
  </si>
  <si>
    <t>LD fixed</t>
  </si>
  <si>
    <t>Door clearance front</t>
  </si>
  <si>
    <t>Shaft0.Car.Door1.DY</t>
  </si>
  <si>
    <t>Fixed 30</t>
  </si>
  <si>
    <t xml:space="preserve">front car door depth </t>
  </si>
  <si>
    <t>Car return front</t>
  </si>
  <si>
    <t>Shaft0.Car.H1</t>
  </si>
  <si>
    <t>Rules based (min 40mm)</t>
  </si>
  <si>
    <t>Cabin depth</t>
  </si>
  <si>
    <t>Car return rear</t>
  </si>
  <si>
    <t>Shaft0.Car.H2</t>
  </si>
  <si>
    <t>Rules based min (40mm)</t>
  </si>
  <si>
    <t>Rear car door depth</t>
  </si>
  <si>
    <t>Door clearance rear</t>
  </si>
  <si>
    <t>Shaft0.Car.Door2.DY</t>
  </si>
  <si>
    <t>Rear door depth</t>
  </si>
  <si>
    <t xml:space="preserve">Door/ wall clearence </t>
  </si>
  <si>
    <t>Shaft0.Entries2.E0.ShaftDoor.YN</t>
  </si>
  <si>
    <t>ALMOST ALWAYS 25</t>
  </si>
  <si>
    <t xml:space="preserve">Rear pocket depth </t>
  </si>
  <si>
    <t>Shaft0.Entries2.E0.Pocket0.N_T</t>
  </si>
  <si>
    <t>2.Front entrance</t>
  </si>
  <si>
    <t>?</t>
  </si>
  <si>
    <t>Starting 0</t>
  </si>
  <si>
    <t>Front door depth</t>
  </si>
  <si>
    <t xml:space="preserve">LD fixed </t>
  </si>
  <si>
    <t>REPETED</t>
  </si>
  <si>
    <t>rear car wall</t>
  </si>
  <si>
    <t>Shaft0.Car.WD2</t>
  </si>
  <si>
    <t>Always 25</t>
  </si>
  <si>
    <t>Rear distance wall / car</t>
  </si>
  <si>
    <t>Shaft0.Car.COMP_DIST_2</t>
  </si>
  <si>
    <t xml:space="preserve">55 minimum </t>
  </si>
  <si>
    <t>3. Rear entrance</t>
  </si>
  <si>
    <t>STARTING 0</t>
  </si>
  <si>
    <t>LD FIXED</t>
  </si>
  <si>
    <t>FIXED 30?</t>
  </si>
  <si>
    <t xml:space="preserve">Rear car door depth </t>
  </si>
  <si>
    <t>Rear return front</t>
  </si>
  <si>
    <t>RULES BASED (MIN 40MM)</t>
  </si>
  <si>
    <t>Front car wall</t>
  </si>
  <si>
    <t>Shaft0.Car.WD1</t>
  </si>
  <si>
    <t>Front distance wall / car</t>
  </si>
  <si>
    <t>Shaft0.Car.COMP_DIST_1</t>
  </si>
  <si>
    <t>55 MIN</t>
  </si>
  <si>
    <t xml:space="preserve">Rail </t>
  </si>
  <si>
    <t>Car rail</t>
  </si>
  <si>
    <t>Ctw rail</t>
  </si>
  <si>
    <t xml:space="preserve"> </t>
  </si>
  <si>
    <t xml:space="preserve">Left rail </t>
  </si>
  <si>
    <t>Shaft0.Car.Frame.GuideList0.</t>
  </si>
  <si>
    <t>Right Rail</t>
  </si>
  <si>
    <t>Shaft0.Car.Frame.GuideList1.</t>
  </si>
  <si>
    <t>Wall thickness</t>
  </si>
  <si>
    <t>Front wall</t>
  </si>
  <si>
    <t>Shaft0.W_1</t>
  </si>
  <si>
    <t xml:space="preserve">Rear wall </t>
  </si>
  <si>
    <t>Shaft0.W_2</t>
  </si>
  <si>
    <t>Left wall</t>
  </si>
  <si>
    <t>Shaft0.W_3</t>
  </si>
  <si>
    <t>Right wall</t>
  </si>
  <si>
    <t>Shaft0.W_4</t>
  </si>
  <si>
    <t xml:space="preserve">Door opening height </t>
  </si>
  <si>
    <t xml:space="preserve">Front door opening height </t>
  </si>
  <si>
    <t>Shaft0.Entries1.E0.Opening.T_AUSBR_H</t>
  </si>
  <si>
    <t xml:space="preserve">Rear door opening height </t>
  </si>
  <si>
    <t>Shaft0.Entries2.E0.Opening.T_AUSBR_H</t>
  </si>
  <si>
    <t>Entrance centering</t>
  </si>
  <si>
    <t>Front Door</t>
  </si>
  <si>
    <t>Left side of the wall</t>
  </si>
  <si>
    <t>Shaft0.Entries1.E0.Opening.XLEFT</t>
  </si>
  <si>
    <t>Structural door opening width</t>
  </si>
  <si>
    <t>Repeated</t>
  </si>
  <si>
    <t>Right side of the wall</t>
  </si>
  <si>
    <t>Shaft0.Entries1.E0.Opening.XRIGHT</t>
  </si>
  <si>
    <t xml:space="preserve">Rear door </t>
  </si>
  <si>
    <t>Shaft0.Entries2.E0.Opening.XLEFT</t>
  </si>
  <si>
    <t>Shaft0.Entries2.E0.Opening.T_AUSBR_B</t>
  </si>
  <si>
    <t>Shaft0.Entries2.E0.Opening.XRIGHT</t>
  </si>
  <si>
    <t>CTW lenght</t>
  </si>
  <si>
    <t>Shaft0.CW.BracketList.DBG</t>
  </si>
  <si>
    <t>Front LOP</t>
  </si>
  <si>
    <t>Lop type</t>
  </si>
  <si>
    <t>Stadnard 150x300</t>
  </si>
  <si>
    <t>Lop center from wall</t>
  </si>
  <si>
    <t>Shaft0.Entries1.E0.Panel0.X0</t>
  </si>
  <si>
    <t>Lop location</t>
  </si>
  <si>
    <t>mode</t>
  </si>
  <si>
    <t>Shaft0.Entries1.E0.Panel0.TABLEAU_POSITION</t>
  </si>
  <si>
    <t xml:space="preserve">panel type </t>
  </si>
  <si>
    <t>rid</t>
  </si>
  <si>
    <t>Shaft0.Entries1.E0.Panel0.</t>
  </si>
  <si>
    <t>if standard 13</t>
  </si>
  <si>
    <t>Rear lop</t>
  </si>
  <si>
    <t>Shaft0.Entries2.E0.Panel0.X0</t>
  </si>
  <si>
    <t>std. = 315</t>
  </si>
  <si>
    <t>Shaft0.Entries2.E0.Panel0.TABLEAU_POSITION</t>
  </si>
  <si>
    <t>Panel type</t>
  </si>
  <si>
    <t>Shaft0.Entries2.E0.Panel0.</t>
  </si>
  <si>
    <t>if standard then 13</t>
  </si>
  <si>
    <t>LIP</t>
  </si>
  <si>
    <t xml:space="preserve">LIP TYPE </t>
  </si>
  <si>
    <t>Stadnard 400x150</t>
  </si>
  <si>
    <t>LIP distance from wall opening to LIP center</t>
  </si>
  <si>
    <t>Shaft0.Entries1.E2.Panel1.DZ0</t>
  </si>
  <si>
    <t>standard 175</t>
  </si>
  <si>
    <t xml:space="preserve">location </t>
  </si>
  <si>
    <t>Shaft0.Entries1.E0.Panel1.TABLEAU_POSITION</t>
  </si>
  <si>
    <t>Perfect rail length</t>
  </si>
  <si>
    <t>Possible rail length</t>
  </si>
  <si>
    <t>its worth cheching if rail isnt bigger than shaft</t>
  </si>
  <si>
    <t>door fixing rails</t>
  </si>
  <si>
    <t xml:space="preserve">front entrance bottom rails </t>
  </si>
  <si>
    <t xml:space="preserve">turns on/ off rail </t>
  </si>
  <si>
    <t xml:space="preserve">front door fixing bottom </t>
  </si>
  <si>
    <t>Shaft0.Entries1.E0.ShaftDoor.DoorFixingPointList1.AnchorRail0.</t>
  </si>
  <si>
    <t>picks right anchor</t>
  </si>
  <si>
    <t>front bottom rail length</t>
  </si>
  <si>
    <t>Shaft0.Entries1.E2.ShaftDoor.DoorFixingPointList1.AnchorRail0.L</t>
  </si>
  <si>
    <t>legth of rail</t>
  </si>
  <si>
    <t xml:space="preserve">Front entrance top rail </t>
  </si>
  <si>
    <t>rail on/off</t>
  </si>
  <si>
    <t xml:space="preserve">front door fixing top1 </t>
  </si>
  <si>
    <t>Shaft0.Entries1.E0.ShaftDoor.DoorFixingPointList0.AnchorRail0.</t>
  </si>
  <si>
    <t>front top rail lenght</t>
  </si>
  <si>
    <t>Shaft0.Entries1.E2.ShaftDoor.DoorFixingPointList0.AnchorRail0.L</t>
  </si>
  <si>
    <t>Rear entrance rails</t>
  </si>
  <si>
    <t>rail on /off</t>
  </si>
  <si>
    <t xml:space="preserve">rear door fixing bottom </t>
  </si>
  <si>
    <t>Shaft0.Entries2.E0.ShaftDoor.DoorFixingPointList1.AnchorRail0.</t>
  </si>
  <si>
    <t>length</t>
  </si>
  <si>
    <t>Shaft0.Entries2.E0.ShaftDoor.DoorFixingPointList1.AnchorRail0.L</t>
  </si>
  <si>
    <t xml:space="preserve">Top rails </t>
  </si>
  <si>
    <t>rear door fixing top</t>
  </si>
  <si>
    <t>Shaft0.Entries2.E0.ShaftDoor.DoorFixingPointList0.AnchorRail0.</t>
  </si>
  <si>
    <t>Shaft0.Entries2.E0.ShaftDoor.DoorFixingPointList0.AnchorRail0.L</t>
  </si>
  <si>
    <t>non ctw bracket</t>
  </si>
  <si>
    <t>Shaft0.RailBracket3.BracketList.Bracket0.AnchorRail0.</t>
  </si>
  <si>
    <t>non ctw bracket length</t>
  </si>
  <si>
    <t>Shaft0.RailBracket3.BracketList.Bracket0.AnchorRail0.L</t>
  </si>
  <si>
    <t xml:space="preserve">ctw bracket </t>
  </si>
  <si>
    <t>Shaft0.CW.BracketList.Bracket0.AnchorRail0.</t>
  </si>
  <si>
    <t>ctw bracket lenth</t>
  </si>
  <si>
    <t>Shaft0.CW.BracketList.Bracket0.AnchorRail0.L</t>
  </si>
  <si>
    <t>cost calvulation</t>
  </si>
  <si>
    <t>Date</t>
  </si>
  <si>
    <t>Revised Cells</t>
  </si>
  <si>
    <t>M57:U57</t>
  </si>
  <si>
    <t>P53,R53,S53,T53,U53</t>
  </si>
  <si>
    <t>U33:U34</t>
  </si>
  <si>
    <t>A233:U235</t>
  </si>
  <si>
    <t>A236:U239</t>
  </si>
  <si>
    <t>Hydraulic MR</t>
  </si>
  <si>
    <t>Escalator</t>
  </si>
  <si>
    <t>CWT-Rear</t>
  </si>
  <si>
    <t>no CWT</t>
  </si>
  <si>
    <t>Rear</t>
  </si>
  <si>
    <t>Front + Side</t>
  </si>
  <si>
    <t>Front + Side + Rear</t>
  </si>
  <si>
    <t>accessible rooms / cwt safety</t>
  </si>
  <si>
    <t>6C</t>
  </si>
  <si>
    <t>2L</t>
  </si>
  <si>
    <t>2R</t>
  </si>
  <si>
    <t>steel structure</t>
  </si>
  <si>
    <t>ASME-A</t>
  </si>
  <si>
    <t>ASME-B</t>
  </si>
  <si>
    <t>ASME-C1</t>
  </si>
  <si>
    <t>ASME-C2</t>
  </si>
  <si>
    <t>EN81-85%</t>
  </si>
  <si>
    <t>flush wall panel R</t>
  </si>
  <si>
    <t>wall-mounted panel L</t>
  </si>
  <si>
    <t>wall-mounted panel R</t>
  </si>
  <si>
    <t>door frame above horizontal</t>
  </si>
  <si>
    <t>panel side vertical</t>
  </si>
  <si>
    <t>segregated panel flush</t>
  </si>
  <si>
    <t>segregated panel wall-mounted</t>
  </si>
  <si>
    <t>Dividing type</t>
  </si>
  <si>
    <t>beam</t>
  </si>
  <si>
    <t>Machine room top</t>
  </si>
  <si>
    <t>Machine room side</t>
  </si>
  <si>
    <t>Machine room bottom</t>
  </si>
  <si>
    <t>Generator</t>
  </si>
  <si>
    <t>Door type/company</t>
  </si>
  <si>
    <t>Standard domponent doors</t>
  </si>
  <si>
    <t xml:space="preserve">Meiller doors </t>
  </si>
  <si>
    <t>STS 16</t>
  </si>
  <si>
    <t>TTS 18</t>
  </si>
  <si>
    <t>TTS  22</t>
  </si>
  <si>
    <t>TTS 25</t>
  </si>
  <si>
    <t>ENTRANCE DOORS RID NUMBER FINDER</t>
  </si>
  <si>
    <t>Meiller doors</t>
  </si>
  <si>
    <t>no doors</t>
  </si>
  <si>
    <t>DOOR DEPTH (MM)</t>
  </si>
  <si>
    <t xml:space="preserve">Suiting car doors </t>
  </si>
  <si>
    <t>door depth</t>
  </si>
  <si>
    <t xml:space="preserve">RED = CUSTOM, AFTER THE UPDATE OF LD RID NUMBERS MAY CHANGE </t>
  </si>
  <si>
    <t>STK 16</t>
  </si>
  <si>
    <t>TTK 18</t>
  </si>
  <si>
    <t>TTK 22</t>
  </si>
  <si>
    <t>TTK 25</t>
  </si>
  <si>
    <t>TTK25</t>
  </si>
  <si>
    <t>Cabin doors</t>
  </si>
  <si>
    <t>DT_S_Y</t>
  </si>
  <si>
    <t>Door depth (mm);</t>
  </si>
  <si>
    <t>Car rail name</t>
  </si>
  <si>
    <t>T90(75)</t>
  </si>
  <si>
    <t>T125(82)</t>
  </si>
  <si>
    <t>T127(89)</t>
  </si>
  <si>
    <t>Car rail RID</t>
  </si>
  <si>
    <t>Ctw Rail Name</t>
  </si>
  <si>
    <t>T75</t>
  </si>
  <si>
    <t>T90</t>
  </si>
  <si>
    <t>T125</t>
  </si>
  <si>
    <t>CtW Rail RID</t>
  </si>
  <si>
    <t>Rail types</t>
  </si>
  <si>
    <t>40/22</t>
  </si>
  <si>
    <t>50/30</t>
  </si>
  <si>
    <t>CTW rails</t>
  </si>
  <si>
    <t>Rail lenghts</t>
  </si>
  <si>
    <t>Levels, names, entrances guide</t>
  </si>
  <si>
    <t>0 - no entrance</t>
  </si>
  <si>
    <t>1 - front entrance</t>
  </si>
  <si>
    <t>2- rear entrance</t>
  </si>
  <si>
    <t>3- both entrance</t>
  </si>
  <si>
    <t>LVL names</t>
  </si>
  <si>
    <t>Front entrances</t>
  </si>
  <si>
    <t>height</t>
  </si>
  <si>
    <t>Rear entrances</t>
  </si>
  <si>
    <t>Level height code</t>
  </si>
  <si>
    <t>value (height)</t>
  </si>
  <si>
    <t>Lift entrances code</t>
  </si>
  <si>
    <t xml:space="preserve">values : </t>
  </si>
  <si>
    <t>Lvl name codes</t>
  </si>
  <si>
    <t>Value (Lvl name)</t>
  </si>
  <si>
    <t>L07</t>
  </si>
  <si>
    <t>FLL.Level6.SERVICE0</t>
  </si>
  <si>
    <t>L06</t>
  </si>
  <si>
    <t>FLL.Level5.SERVICE0</t>
  </si>
  <si>
    <t>L05</t>
  </si>
  <si>
    <t>FLL.Level4.SERVICE0</t>
  </si>
  <si>
    <t>L04</t>
  </si>
  <si>
    <t>FLL.Level3.SERVICE0</t>
  </si>
  <si>
    <t>L03</t>
  </si>
  <si>
    <t>FLL.Level2.SERVICE0</t>
  </si>
  <si>
    <t>L02</t>
  </si>
  <si>
    <t>FLL.Level1.SERVICE0</t>
  </si>
  <si>
    <t>L00</t>
  </si>
  <si>
    <t>FLL.Level0.SERVICE0</t>
  </si>
  <si>
    <t xml:space="preserve">Exporting second shaft </t>
  </si>
  <si>
    <t xml:space="preserve">*we need an option to export and import data of shaft as a second or third one in a set </t>
  </si>
  <si>
    <t xml:space="preserve">To correctly export data of second shaft Shaft0. needs to be replaced by Shaft1. or Shaft2. in every single code </t>
  </si>
  <si>
    <t>* there is exception. If we export second shaft we need to perform changes :</t>
  </si>
  <si>
    <t>if we export as a Shaft1.</t>
  </si>
  <si>
    <t>with</t>
  </si>
  <si>
    <t>L_Projects.PROJ_USER_4</t>
  </si>
  <si>
    <t>L_Projects.PROJ_USER_5</t>
  </si>
  <si>
    <t>L_Projects.PROJ_USER_6</t>
  </si>
  <si>
    <t>if we export as a Shaft2.</t>
  </si>
  <si>
    <t>L_Projects.PROJ_USER_7</t>
  </si>
  <si>
    <t>L_Projects.PROJ_USER_8</t>
  </si>
  <si>
    <t>L_Projects.PROJ_USER_9</t>
  </si>
  <si>
    <t>If we export as a Shaft3.</t>
  </si>
  <si>
    <t>L_Projects.PROJ_USER_10</t>
  </si>
  <si>
    <t>L_Projects.PROJ_USER_11</t>
  </si>
  <si>
    <t>L_Projects.PROJ_USER_12</t>
  </si>
  <si>
    <t>Shaft depth:</t>
  </si>
  <si>
    <t xml:space="preserve">We have 3 options right now: Front, Rear or Front + Rear </t>
  </si>
  <si>
    <t>depending on which one we picked in row 28 the diferent sets we should export (our sets are fron 287 to 324)</t>
  </si>
  <si>
    <t>Outside export file that will be ready to put info LD we should also have a table/paper that will have all the information that is impossible to import to LD and we need to do manualy. Also this paper will have the same informations that export should have. (Lift designer likes to not change stuff properly so to perform doubble check)</t>
  </si>
  <si>
    <t>YES/NO</t>
  </si>
  <si>
    <t>Ja/Yes</t>
  </si>
  <si>
    <t>Nein/No</t>
  </si>
  <si>
    <t>remove</t>
  </si>
  <si>
    <t>Mechanical Forces</t>
  </si>
  <si>
    <t>Applicable Codes and Standards</t>
  </si>
  <si>
    <t>technical Interfaces</t>
  </si>
  <si>
    <t>NABERS</t>
  </si>
  <si>
    <t>DGNB</t>
  </si>
  <si>
    <t>LEED</t>
  </si>
  <si>
    <t>BREEAM</t>
  </si>
  <si>
    <t>yes, TYPE A</t>
  </si>
  <si>
    <t xml:space="preserve">yes, TYPE B </t>
  </si>
  <si>
    <t>EN81-58 fire rating class</t>
  </si>
  <si>
    <t>text input here:</t>
  </si>
  <si>
    <t>EN81-76 Emergency Evacuation Type</t>
  </si>
  <si>
    <t>Automatic</t>
  </si>
  <si>
    <t>Remote</t>
  </si>
  <si>
    <t>Assisted</t>
  </si>
  <si>
    <t>We will need multiple choices here.</t>
  </si>
  <si>
    <t>Multiple choices here:</t>
  </si>
  <si>
    <t xml:space="preserve">Changed rows marked red </t>
  </si>
  <si>
    <t>114:117</t>
  </si>
  <si>
    <t xml:space="preserve">[MM] Here we will need a second choice: if its standard or not </t>
  </si>
  <si>
    <t xml:space="preserve">we need to move this up </t>
  </si>
  <si>
    <t>we need to move this up</t>
  </si>
  <si>
    <t xml:space="preserve">Those are the standard values for each lift. Just 1600 has a 2 standard options </t>
  </si>
  <si>
    <t>for calculations we will implement sub tool later. So for now just manual data insert</t>
  </si>
  <si>
    <t>same as above</t>
  </si>
  <si>
    <t xml:space="preserve">Keep this as a standard value for each type of lift </t>
  </si>
  <si>
    <t xml:space="preserve">This whole wall thickness can be removed -  </t>
  </si>
  <si>
    <t xml:space="preserve">MM-Should we have a option here "no rail"? </t>
  </si>
  <si>
    <t>Shaft0.Entries1.E0.ShaftDoor.DoorFixingPointList1.</t>
  </si>
  <si>
    <t>Shaft0.Entries1.E0.ShaftDoor.DoorFixingPointList0.DoorFixingPoint0.</t>
  </si>
  <si>
    <t>Shaft0.Entries2.E0.ShaftDoor.DoorFixingPointList0.DoorFixingPoint0.</t>
  </si>
  <si>
    <t>Shaft0.Entries2.E0.ShaftDoor.DoorFixingPointList1.DoorFixingPoint0.</t>
  </si>
  <si>
    <t>Formulas and Ld codes changed (simplified)</t>
  </si>
  <si>
    <t>400,405,410,415</t>
  </si>
  <si>
    <t>Implemented</t>
  </si>
  <si>
    <t xml:space="preserve">Number of floors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</si>
</sst>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 [$€-407]_-;\-* #,##0.00\ [$€-407]_-;_-* &quot;-&quot;??\ [$€-407]_-;_-@_-"/>
    <numFmt numFmtId="165" formatCode="0.0"/>
    <numFmt numFmtId="166" formatCode="\+#,##0.00\ &quot;m&quot;;\-#,##0.00\ &quot;m&quot;"/>
  </numFmts>
  <fonts count="20" x14ac:knownFonts="1">
    <font>
      <sz val="11"/>
      <color theme="1"/>
      <name val="Calibri"/>
      <family val="2"/>
      <scheme val="minor"/>
    </font>
    <font>
      <sz val="10"/>
      <color theme="1"/>
      <name val="Segoe UI"/>
      <family val="2"/>
    </font>
    <font>
      <b/>
      <sz val="11"/>
      <color theme="1"/>
      <name val="Calibri"/>
      <family val="2"/>
      <scheme val="minor"/>
    </font>
    <font>
      <sz val="11"/>
      <color theme="1"/>
      <name val="Calibri"/>
      <family val="2"/>
      <scheme val="minor"/>
    </font>
    <font>
      <sz val="10"/>
      <color theme="1"/>
      <name val="Segoe UI"/>
      <family val="2"/>
    </font>
    <font>
      <sz val="8"/>
      <name val="Calibri"/>
      <family val="2"/>
      <scheme val="minor"/>
    </font>
    <font>
      <sz val="9"/>
      <color theme="1"/>
      <name val="Segoe UI"/>
      <family val="2"/>
    </font>
    <font>
      <b/>
      <u/>
      <sz val="9"/>
      <color theme="1"/>
      <name val="Segoe UI"/>
      <family val="2"/>
    </font>
    <font>
      <b/>
      <sz val="9"/>
      <color theme="1"/>
      <name val="Segoe UI"/>
      <family val="2"/>
    </font>
    <font>
      <i/>
      <sz val="9"/>
      <color theme="1"/>
      <name val="Segoe UI"/>
      <family val="2"/>
    </font>
    <font>
      <sz val="11"/>
      <name val="Calibri"/>
      <family val="2"/>
      <scheme val="minor"/>
    </font>
    <font>
      <b/>
      <sz val="14"/>
      <color rgb="FFFFFFFF"/>
      <name val="Calibri"/>
      <family val="2"/>
      <scheme val="minor"/>
    </font>
    <font>
      <sz val="14"/>
      <color theme="1"/>
      <name val="Calibri"/>
      <family val="2"/>
      <scheme val="minor"/>
    </font>
    <font>
      <b/>
      <sz val="14"/>
      <color theme="1"/>
      <name val="Calibri"/>
      <family val="2"/>
      <scheme val="minor"/>
    </font>
    <font>
      <sz val="11"/>
      <color rgb="FF000000"/>
      <name val="Calibri"/>
      <family val="2"/>
    </font>
    <font>
      <b/>
      <sz val="11"/>
      <color rgb="FF000000"/>
      <name val="Calibri"/>
      <family val="2"/>
    </font>
    <font>
      <sz val="11"/>
      <color theme="1"/>
      <name val="Segoe UI"/>
      <family val="2"/>
    </font>
    <font>
      <sz val="11"/>
      <name val="Calibri"/>
      <family val="2"/>
    </font>
    <font>
      <sz val="11"/>
      <color rgb="FFFF0000"/>
      <name val="Calibri"/>
      <family val="2"/>
      <scheme val="minor"/>
    </font>
    <font>
      <b/>
      <u/>
      <sz val="11"/>
      <color theme="1"/>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9BBB59"/>
        <bgColor rgb="FF000000"/>
      </patternFill>
    </fill>
    <fill>
      <patternFill patternType="solid">
        <fgColor theme="4" tint="0.79998168889431442"/>
        <bgColor indexed="64"/>
      </patternFill>
    </fill>
    <fill>
      <patternFill patternType="solid">
        <fgColor theme="8"/>
        <bgColor indexed="64"/>
      </patternFill>
    </fill>
    <fill>
      <patternFill patternType="solid">
        <fgColor theme="0" tint="-0.149967955565050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C000"/>
        <bgColor indexed="64"/>
      </patternFill>
    </fill>
    <fill>
      <patternFill patternType="solid">
        <fgColor rgb="FFFFFF00"/>
        <bgColor indexed="64"/>
      </patternFill>
    </fill>
    <fill>
      <patternFill patternType="solid">
        <fgColor theme="4" tint="0.59999389629810485"/>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s>
  <cellStyleXfs count="13">
    <xf numFmtId="0" fontId="0" fillId="0" borderId="0"/>
    <xf numFmtId="0" fontId="3" fillId="0" borderId="0"/>
    <xf numFmtId="0" fontId="4" fillId="0" borderId="0"/>
    <xf numFmtId="0" fontId="4" fillId="0" borderId="0"/>
    <xf numFmtId="0" fontId="6" fillId="0" borderId="0" applyNumberFormat="0" applyFill="0" applyBorder="0" applyAlignment="0"/>
    <xf numFmtId="0" fontId="7" fillId="0" borderId="0" applyNumberFormat="0" applyAlignment="0"/>
    <xf numFmtId="0" fontId="6" fillId="5" borderId="1" applyNumberFormat="0" applyAlignment="0">
      <protection locked="0"/>
    </xf>
    <xf numFmtId="0" fontId="4" fillId="6" borderId="1" applyNumberFormat="0" applyAlignment="0"/>
    <xf numFmtId="0" fontId="9" fillId="0" borderId="0" applyNumberFormat="0" applyFill="0" applyBorder="0" applyAlignment="0"/>
    <xf numFmtId="0" fontId="6" fillId="7" borderId="1" applyNumberFormat="0" applyAlignment="0"/>
    <xf numFmtId="0" fontId="8" fillId="0" borderId="0" applyNumberFormat="0">
      <alignment horizontal="left"/>
    </xf>
    <xf numFmtId="0" fontId="4" fillId="6" borderId="1" applyNumberFormat="0" applyAlignment="0"/>
    <xf numFmtId="0" fontId="1" fillId="0" borderId="0"/>
  </cellStyleXfs>
  <cellXfs count="260">
    <xf numFmtId="0" fontId="0" fillId="0" borderId="0" xfId="0"/>
    <xf numFmtId="0" fontId="0" fillId="2" borderId="0" xfId="1" applyFont="1" applyFill="1" applyAlignment="1">
      <alignment horizontal="center"/>
    </xf>
    <xf numFmtId="0" fontId="0" fillId="0" borderId="0" xfId="1" applyFont="1" applyAlignment="1">
      <alignment horizontal="center"/>
    </xf>
    <xf numFmtId="164" fontId="0" fillId="0" borderId="1" xfId="1" applyNumberFormat="1" applyFont="1" applyBorder="1" applyAlignment="1">
      <alignment horizontal="center"/>
    </xf>
    <xf numFmtId="0" fontId="0" fillId="0" borderId="8" xfId="0" applyBorder="1"/>
    <xf numFmtId="0" fontId="0" fillId="0" borderId="1" xfId="1" applyFont="1" applyBorder="1" applyAlignment="1">
      <alignment horizontal="center"/>
    </xf>
    <xf numFmtId="1" fontId="0" fillId="0" borderId="1" xfId="1" applyNumberFormat="1" applyFont="1" applyBorder="1" applyAlignment="1">
      <alignment horizontal="center"/>
    </xf>
    <xf numFmtId="2" fontId="0" fillId="0" borderId="1" xfId="1" applyNumberFormat="1" applyFont="1" applyBorder="1" applyAlignment="1">
      <alignment horizontal="center"/>
    </xf>
    <xf numFmtId="0" fontId="2" fillId="0" borderId="0" xfId="1" applyFont="1" applyAlignment="1">
      <alignment horizontal="center"/>
    </xf>
    <xf numFmtId="0" fontId="10" fillId="0" borderId="0" xfId="1" applyFont="1" applyAlignment="1">
      <alignment horizontal="center"/>
    </xf>
    <xf numFmtId="0" fontId="10" fillId="0" borderId="1" xfId="1" applyFont="1" applyBorder="1" applyAlignment="1">
      <alignment horizontal="center"/>
    </xf>
    <xf numFmtId="0" fontId="2" fillId="0" borderId="8" xfId="0" applyFont="1" applyBorder="1" applyAlignment="1">
      <alignment horizontal="left"/>
    </xf>
    <xf numFmtId="0" fontId="2" fillId="0" borderId="1" xfId="1" applyFont="1" applyBorder="1" applyAlignment="1">
      <alignment horizontal="center"/>
    </xf>
    <xf numFmtId="0" fontId="0" fillId="0" borderId="14" xfId="1" applyFont="1" applyBorder="1" applyAlignment="1">
      <alignment horizontal="center" vertical="center"/>
    </xf>
    <xf numFmtId="0" fontId="0" fillId="0" borderId="1" xfId="1" applyFont="1" applyBorder="1" applyAlignment="1">
      <alignment horizontal="center" vertical="center"/>
    </xf>
    <xf numFmtId="0" fontId="0" fillId="0" borderId="2" xfId="1" applyFont="1" applyBorder="1" applyAlignment="1">
      <alignment horizontal="center" vertical="center"/>
    </xf>
    <xf numFmtId="0" fontId="0" fillId="0" borderId="0" xfId="1" applyFont="1" applyAlignment="1">
      <alignment horizontal="center" vertical="center"/>
    </xf>
    <xf numFmtId="0" fontId="10" fillId="0" borderId="2" xfId="1" applyFont="1" applyBorder="1" applyAlignment="1">
      <alignment horizontal="center" vertical="center"/>
    </xf>
    <xf numFmtId="0" fontId="0" fillId="2" borderId="16" xfId="1" applyFont="1" applyFill="1" applyBorder="1" applyAlignment="1">
      <alignment horizontal="center"/>
    </xf>
    <xf numFmtId="0" fontId="0" fillId="0" borderId="5" xfId="1" applyFont="1" applyBorder="1" applyAlignment="1">
      <alignment horizontal="center" vertical="center"/>
    </xf>
    <xf numFmtId="0" fontId="0" fillId="0" borderId="5" xfId="1" applyFont="1" applyBorder="1" applyAlignment="1">
      <alignment horizontal="center"/>
    </xf>
    <xf numFmtId="0" fontId="12" fillId="0" borderId="11" xfId="1" applyFont="1" applyBorder="1" applyAlignment="1">
      <alignment horizontal="center"/>
    </xf>
    <xf numFmtId="0" fontId="11" fillId="4" borderId="12" xfId="0" applyFont="1" applyFill="1" applyBorder="1" applyAlignment="1">
      <alignment horizontal="center" vertical="center"/>
    </xf>
    <xf numFmtId="0" fontId="11" fillId="4" borderId="15" xfId="0" applyFont="1" applyFill="1" applyBorder="1" applyAlignment="1">
      <alignment horizontal="center" vertical="center"/>
    </xf>
    <xf numFmtId="0" fontId="13" fillId="0" borderId="11" xfId="1" applyFont="1" applyBorder="1" applyAlignment="1">
      <alignment horizontal="center"/>
    </xf>
    <xf numFmtId="0" fontId="13" fillId="2" borderId="11" xfId="1" applyFont="1" applyFill="1" applyBorder="1" applyAlignment="1">
      <alignment horizontal="center"/>
    </xf>
    <xf numFmtId="0" fontId="11" fillId="4" borderId="17" xfId="0" applyFont="1" applyFill="1" applyBorder="1" applyAlignment="1">
      <alignment horizontal="center"/>
    </xf>
    <xf numFmtId="0" fontId="11" fillId="4" borderId="13" xfId="0" applyFont="1" applyFill="1" applyBorder="1" applyAlignment="1">
      <alignment horizontal="center"/>
    </xf>
    <xf numFmtId="0" fontId="2" fillId="0" borderId="0" xfId="0" applyFont="1" applyAlignment="1">
      <alignment horizontal="left"/>
    </xf>
    <xf numFmtId="0" fontId="0" fillId="0" borderId="5" xfId="1" applyFont="1" applyBorder="1" applyAlignment="1">
      <alignment horizontal="center" vertical="center" wrapText="1"/>
    </xf>
    <xf numFmtId="0" fontId="14" fillId="0" borderId="0" xfId="0" applyFont="1"/>
    <xf numFmtId="0" fontId="0" fillId="0" borderId="1" xfId="1" applyFont="1" applyBorder="1" applyAlignment="1">
      <alignment horizontal="left" wrapText="1"/>
    </xf>
    <xf numFmtId="0" fontId="0" fillId="0" borderId="18" xfId="1" applyFont="1" applyBorder="1" applyAlignment="1">
      <alignment horizontal="center"/>
    </xf>
    <xf numFmtId="0" fontId="0" fillId="0" borderId="18" xfId="1" applyFont="1" applyBorder="1" applyAlignment="1">
      <alignment horizontal="center" vertical="center"/>
    </xf>
    <xf numFmtId="0" fontId="0" fillId="0" borderId="4" xfId="1" applyFont="1" applyBorder="1" applyAlignment="1">
      <alignment horizontal="center"/>
    </xf>
    <xf numFmtId="0" fontId="0" fillId="0" borderId="16" xfId="1" applyFont="1" applyBorder="1" applyAlignment="1">
      <alignment horizontal="center" vertical="center"/>
    </xf>
    <xf numFmtId="0" fontId="0" fillId="0" borderId="4" xfId="1" applyFont="1" applyBorder="1" applyAlignment="1">
      <alignment horizontal="center" vertical="center"/>
    </xf>
    <xf numFmtId="0" fontId="0" fillId="0" borderId="16" xfId="1" applyFont="1" applyBorder="1" applyAlignment="1">
      <alignment horizontal="center"/>
    </xf>
    <xf numFmtId="0" fontId="0" fillId="0" borderId="19" xfId="1" applyFont="1" applyBorder="1" applyAlignment="1">
      <alignment horizontal="center"/>
    </xf>
    <xf numFmtId="0" fontId="0" fillId="0" borderId="20" xfId="1" applyFont="1" applyBorder="1" applyAlignment="1">
      <alignment horizontal="center" vertical="center"/>
    </xf>
    <xf numFmtId="0" fontId="0" fillId="0" borderId="23" xfId="1" applyFont="1" applyBorder="1" applyAlignment="1">
      <alignment horizontal="center" vertical="center"/>
    </xf>
    <xf numFmtId="0" fontId="0" fillId="0" borderId="0" xfId="0" applyAlignment="1">
      <alignment horizontal="left"/>
    </xf>
    <xf numFmtId="0" fontId="0" fillId="0" borderId="18" xfId="0" applyBorder="1" applyAlignment="1">
      <alignment horizontal="left"/>
    </xf>
    <xf numFmtId="166" fontId="0" fillId="0" borderId="18" xfId="0" applyNumberFormat="1" applyBorder="1" applyAlignment="1">
      <alignment horizontal="center"/>
    </xf>
    <xf numFmtId="0" fontId="11" fillId="4" borderId="11" xfId="0" applyFont="1" applyFill="1" applyBorder="1" applyAlignment="1">
      <alignment horizontal="center" vertical="center"/>
    </xf>
    <xf numFmtId="0" fontId="0" fillId="0" borderId="0" xfId="1" applyFont="1" applyAlignment="1">
      <alignment horizontal="left"/>
    </xf>
    <xf numFmtId="0" fontId="0" fillId="0" borderId="0" xfId="0" applyAlignment="1">
      <alignment horizontal="center" vertical="center"/>
    </xf>
    <xf numFmtId="0" fontId="17" fillId="0" borderId="0" xfId="0" applyFont="1"/>
    <xf numFmtId="0" fontId="0" fillId="2" borderId="1" xfId="1" applyFont="1" applyFill="1" applyBorder="1" applyAlignment="1">
      <alignment horizontal="center"/>
    </xf>
    <xf numFmtId="0" fontId="0" fillId="0" borderId="1" xfId="0" applyBorder="1"/>
    <xf numFmtId="0" fontId="0" fillId="8" borderId="0" xfId="0" applyFill="1"/>
    <xf numFmtId="0" fontId="10" fillId="8" borderId="0" xfId="0" applyFont="1" applyFill="1"/>
    <xf numFmtId="0" fontId="0" fillId="0" borderId="1" xfId="0" applyBorder="1" applyAlignment="1">
      <alignment horizontal="left"/>
    </xf>
    <xf numFmtId="166" fontId="0" fillId="0" borderId="0" xfId="0" applyNumberFormat="1" applyAlignment="1">
      <alignment horizontal="center"/>
    </xf>
    <xf numFmtId="0" fontId="2" fillId="0" borderId="0" xfId="0" applyFont="1"/>
    <xf numFmtId="0" fontId="16" fillId="0" borderId="1" xfId="0" applyFont="1" applyBorder="1" applyAlignment="1">
      <alignment wrapText="1"/>
    </xf>
    <xf numFmtId="0" fontId="0" fillId="0" borderId="21" xfId="1" applyFont="1" applyBorder="1" applyAlignment="1">
      <alignment horizontal="center" vertical="center"/>
    </xf>
    <xf numFmtId="0" fontId="0" fillId="8" borderId="1" xfId="1" applyFont="1" applyFill="1" applyBorder="1" applyAlignment="1">
      <alignment horizontal="center"/>
    </xf>
    <xf numFmtId="0" fontId="0" fillId="0" borderId="1" xfId="0" applyBorder="1" applyAlignment="1">
      <alignment horizontal="center" vertical="center"/>
    </xf>
    <xf numFmtId="0" fontId="18" fillId="0" borderId="1" xfId="0" applyFont="1" applyBorder="1" applyAlignment="1">
      <alignment horizontal="center" vertical="center"/>
    </xf>
    <xf numFmtId="0" fontId="18" fillId="0" borderId="1" xfId="0" applyFont="1" applyBorder="1"/>
    <xf numFmtId="0" fontId="0" fillId="0" borderId="1" xfId="0" applyBorder="1" applyAlignment="1">
      <alignment horizontal="right"/>
    </xf>
    <xf numFmtId="0" fontId="0" fillId="9" borderId="1" xfId="1" applyFont="1" applyFill="1" applyBorder="1" applyAlignment="1">
      <alignment horizontal="center"/>
    </xf>
    <xf numFmtId="0" fontId="10" fillId="0" borderId="0" xfId="1" applyFont="1" applyAlignment="1">
      <alignment horizontal="center" vertical="center"/>
    </xf>
    <xf numFmtId="0" fontId="14" fillId="0" borderId="1" xfId="0" applyFont="1" applyBorder="1" applyAlignment="1">
      <alignment horizontal="center"/>
    </xf>
    <xf numFmtId="164" fontId="0" fillId="0" borderId="16" xfId="1" applyNumberFormat="1" applyFont="1" applyBorder="1" applyAlignment="1">
      <alignment horizontal="center"/>
    </xf>
    <xf numFmtId="164" fontId="0" fillId="0" borderId="0" xfId="1" applyNumberFormat="1" applyFont="1" applyAlignment="1">
      <alignment horizontal="center"/>
    </xf>
    <xf numFmtId="0" fontId="0" fillId="0" borderId="24" xfId="1" applyFont="1" applyBorder="1" applyAlignment="1">
      <alignment horizontal="center"/>
    </xf>
    <xf numFmtId="0" fontId="0" fillId="0" borderId="25" xfId="1" applyFont="1" applyBorder="1" applyAlignment="1">
      <alignment horizontal="center"/>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0" fillId="0" borderId="0" xfId="1" applyFont="1" applyAlignment="1">
      <alignment horizontal="center" wrapText="1"/>
    </xf>
    <xf numFmtId="0" fontId="0" fillId="0" borderId="25" xfId="1" applyFont="1" applyBorder="1" applyAlignment="1">
      <alignment horizontal="center" wrapText="1"/>
    </xf>
    <xf numFmtId="1" fontId="0" fillId="0" borderId="0" xfId="1" applyNumberFormat="1" applyFont="1" applyAlignment="1">
      <alignment horizontal="center"/>
    </xf>
    <xf numFmtId="0" fontId="2" fillId="0" borderId="0" xfId="1" applyFont="1" applyAlignment="1">
      <alignment horizontal="center" wrapText="1"/>
    </xf>
    <xf numFmtId="0" fontId="0" fillId="0" borderId="14" xfId="1" applyFont="1" applyBorder="1" applyAlignment="1">
      <alignment horizontal="center"/>
    </xf>
    <xf numFmtId="0" fontId="0" fillId="0" borderId="2" xfId="1" applyFont="1" applyBorder="1" applyAlignment="1">
      <alignment horizontal="center"/>
    </xf>
    <xf numFmtId="0" fontId="0" fillId="0" borderId="23" xfId="1" applyFont="1" applyBorder="1" applyAlignment="1">
      <alignment horizontal="center"/>
    </xf>
    <xf numFmtId="0" fontId="0" fillId="8" borderId="16" xfId="1" applyFont="1" applyFill="1" applyBorder="1" applyAlignment="1">
      <alignment horizontal="center"/>
    </xf>
    <xf numFmtId="0" fontId="0" fillId="10" borderId="1" xfId="1" applyFont="1" applyFill="1" applyBorder="1" applyAlignment="1">
      <alignment horizontal="center"/>
    </xf>
    <xf numFmtId="0" fontId="0" fillId="0" borderId="24" xfId="1" applyFont="1" applyBorder="1" applyAlignment="1">
      <alignment horizontal="center" vertical="center"/>
    </xf>
    <xf numFmtId="0" fontId="0" fillId="0" borderId="25" xfId="1" applyFont="1" applyBorder="1" applyAlignment="1">
      <alignment horizontal="center" vertical="center"/>
    </xf>
    <xf numFmtId="0" fontId="0" fillId="0" borderId="1" xfId="1" applyFont="1" applyBorder="1" applyAlignment="1">
      <alignment horizontal="center" wrapText="1"/>
    </xf>
    <xf numFmtId="0" fontId="0" fillId="0" borderId="2" xfId="1" applyFont="1" applyBorder="1" applyAlignment="1">
      <alignment horizontal="center" wrapText="1" shrinkToFit="1"/>
    </xf>
    <xf numFmtId="0" fontId="10" fillId="0" borderId="2" xfId="0" applyFont="1" applyBorder="1" applyAlignment="1">
      <alignment horizontal="center" vertical="center"/>
    </xf>
    <xf numFmtId="0" fontId="0" fillId="0" borderId="19" xfId="0" applyBorder="1" applyAlignment="1">
      <alignment horizontal="left"/>
    </xf>
    <xf numFmtId="0" fontId="0" fillId="0" borderId="27" xfId="1" applyFont="1" applyBorder="1" applyAlignment="1">
      <alignment horizontal="center" vertical="center"/>
    </xf>
    <xf numFmtId="0" fontId="0" fillId="0" borderId="28" xfId="1" applyFont="1" applyBorder="1" applyAlignment="1">
      <alignment horizontal="center" vertical="center"/>
    </xf>
    <xf numFmtId="0" fontId="0" fillId="0" borderId="29" xfId="1" applyFont="1" applyBorder="1" applyAlignment="1">
      <alignment horizontal="center" vertical="center"/>
    </xf>
    <xf numFmtId="166" fontId="0" fillId="0" borderId="19" xfId="0" applyNumberFormat="1" applyBorder="1" applyAlignment="1">
      <alignment horizontal="center"/>
    </xf>
    <xf numFmtId="0" fontId="2" fillId="0" borderId="0" xfId="0" applyFont="1" applyAlignment="1">
      <alignment horizontal="center"/>
    </xf>
    <xf numFmtId="166" fontId="0" fillId="0" borderId="1" xfId="0" applyNumberFormat="1" applyBorder="1" applyAlignment="1">
      <alignment horizontal="center"/>
    </xf>
    <xf numFmtId="0" fontId="0" fillId="0" borderId="30" xfId="1" applyFont="1" applyBorder="1" applyAlignment="1">
      <alignment horizontal="center" vertical="center"/>
    </xf>
    <xf numFmtId="0" fontId="14" fillId="0" borderId="21" xfId="0" applyFont="1" applyBorder="1"/>
    <xf numFmtId="0" fontId="0" fillId="0" borderId="0" xfId="0" applyAlignment="1">
      <alignment horizontal="center"/>
    </xf>
    <xf numFmtId="0" fontId="0" fillId="0" borderId="1" xfId="0" applyBorder="1" applyAlignment="1">
      <alignment horizontal="center"/>
    </xf>
    <xf numFmtId="0" fontId="11" fillId="4" borderId="12" xfId="0" applyFont="1" applyFill="1" applyBorder="1" applyAlignment="1">
      <alignment horizontal="center"/>
    </xf>
    <xf numFmtId="0" fontId="0" fillId="8" borderId="2" xfId="1" applyFont="1" applyFill="1" applyBorder="1" applyAlignment="1">
      <alignment horizontal="center"/>
    </xf>
    <xf numFmtId="0" fontId="0" fillId="9" borderId="2" xfId="1" applyFont="1" applyFill="1" applyBorder="1" applyAlignment="1">
      <alignment horizontal="center"/>
    </xf>
    <xf numFmtId="0" fontId="0" fillId="8" borderId="1" xfId="0" applyFill="1" applyBorder="1" applyAlignment="1">
      <alignment horizontal="center"/>
    </xf>
    <xf numFmtId="0" fontId="0" fillId="8" borderId="0" xfId="0" applyFill="1" applyAlignment="1">
      <alignment horizontal="center"/>
    </xf>
    <xf numFmtId="0" fontId="0" fillId="8" borderId="1" xfId="0" applyFill="1" applyBorder="1" applyAlignment="1">
      <alignment horizontal="center" wrapText="1"/>
    </xf>
    <xf numFmtId="0" fontId="0" fillId="0" borderId="26" xfId="1" applyFont="1" applyBorder="1" applyAlignment="1">
      <alignment horizontal="center"/>
    </xf>
    <xf numFmtId="0" fontId="0" fillId="0" borderId="6" xfId="0" applyBorder="1"/>
    <xf numFmtId="0" fontId="0" fillId="0" borderId="1" xfId="0" applyBorder="1">
      <extLst>
        <ext xmlns:xfpb="http://schemas.microsoft.com/office/spreadsheetml/2022/featurepropertybag" uri="{C7286773-470A-42A8-94C5-96B5CB345126}">
          <xfpb:xfComplement i="0"/>
        </ext>
      </extLst>
    </xf>
    <xf numFmtId="0" fontId="0" fillId="0" borderId="32" xfId="0" applyBorder="1"/>
    <xf numFmtId="0" fontId="0" fillId="0" borderId="33" xfId="0" applyBorder="1"/>
    <xf numFmtId="0" fontId="2" fillId="0" borderId="34" xfId="0" applyFont="1" applyBorder="1"/>
    <xf numFmtId="0" fontId="0" fillId="0" borderId="7" xfId="0" applyBorder="1" applyAlignment="1">
      <alignment horizontal="left"/>
    </xf>
    <xf numFmtId="0" fontId="0" fillId="0" borderId="0" xfId="0" applyAlignment="1">
      <alignment horizontal="right"/>
    </xf>
    <xf numFmtId="0" fontId="0" fillId="0" borderId="8" xfId="0" applyBorder="1" applyAlignment="1">
      <alignment horizontal="left"/>
    </xf>
    <xf numFmtId="0" fontId="0" fillId="0" borderId="32" xfId="0" applyBorder="1" applyAlignment="1">
      <alignment horizontal="left"/>
    </xf>
    <xf numFmtId="0" fontId="0" fillId="0" borderId="33" xfId="0" applyBorder="1" applyAlignment="1">
      <alignment horizontal="left"/>
    </xf>
    <xf numFmtId="0" fontId="2" fillId="0" borderId="8" xfId="0" applyFont="1" applyBorder="1"/>
    <xf numFmtId="0" fontId="0" fillId="0" borderId="0" xfId="0" applyAlignment="1">
      <alignment horizontal="center" vertical="center" wrapText="1"/>
    </xf>
    <xf numFmtId="0" fontId="0" fillId="0" borderId="0" xfId="0" applyAlignment="1">
      <alignment horizontal="left" wrapText="1"/>
    </xf>
    <xf numFmtId="0" fontId="16" fillId="0" borderId="0" xfId="0" applyFont="1" applyAlignment="1">
      <alignment wrapText="1"/>
    </xf>
    <xf numFmtId="0" fontId="0" fillId="0" borderId="1" xfId="1" applyFont="1" applyBorder="1" applyAlignment="1">
      <alignment horizontal="center" vertical="center" wrapText="1"/>
    </xf>
    <xf numFmtId="0" fontId="0" fillId="8" borderId="0" xfId="0" applyFill="1" applyAlignment="1">
      <alignment horizontal="center" vertical="center"/>
    </xf>
    <xf numFmtId="0" fontId="0" fillId="9" borderId="0" xfId="0" applyFill="1" applyAlignment="1">
      <alignment horizontal="center" vertical="center"/>
    </xf>
    <xf numFmtId="0" fontId="0" fillId="8" borderId="0" xfId="0" applyFill="1" applyAlignment="1">
      <alignment horizontal="left" vertical="center"/>
    </xf>
    <xf numFmtId="0" fontId="0" fillId="8" borderId="1" xfId="1" applyFont="1" applyFill="1" applyBorder="1" applyAlignment="1">
      <alignment horizontal="center" vertical="center"/>
    </xf>
    <xf numFmtId="1" fontId="0" fillId="0" borderId="0" xfId="0" applyNumberFormat="1" applyAlignment="1">
      <alignment horizontal="center" vertical="center"/>
    </xf>
    <xf numFmtId="0" fontId="0" fillId="11" borderId="1" xfId="1" applyFont="1" applyFill="1" applyBorder="1" applyAlignment="1">
      <alignment horizontal="center" vertical="center"/>
    </xf>
    <xf numFmtId="0" fontId="11" fillId="4" borderId="12" xfId="0" applyFont="1" applyFill="1" applyBorder="1" applyAlignment="1">
      <alignment horizontal="center" vertical="center" wrapText="1"/>
    </xf>
    <xf numFmtId="2" fontId="0" fillId="0" borderId="0" xfId="0" applyNumberFormat="1" applyAlignment="1">
      <alignment horizontal="center" vertical="center"/>
    </xf>
    <xf numFmtId="0" fontId="0" fillId="0" borderId="4" xfId="0" applyBorder="1" applyAlignment="1">
      <alignment horizontal="left" vertical="center"/>
    </xf>
    <xf numFmtId="2" fontId="10" fillId="0" borderId="2" xfId="0" applyNumberFormat="1" applyFont="1" applyBorder="1" applyAlignment="1">
      <alignment horizontal="center" vertical="center"/>
    </xf>
    <xf numFmtId="2" fontId="0" fillId="2" borderId="1" xfId="1" applyNumberFormat="1" applyFont="1" applyFill="1" applyBorder="1" applyAlignment="1">
      <alignment horizontal="center"/>
    </xf>
    <xf numFmtId="0" fontId="18" fillId="0" borderId="0" xfId="1" applyFont="1" applyAlignment="1">
      <alignment horizontal="center"/>
    </xf>
    <xf numFmtId="0" fontId="2" fillId="0" borderId="25" xfId="0" applyFont="1" applyBorder="1" applyAlignment="1">
      <alignment horizontal="left"/>
    </xf>
    <xf numFmtId="0" fontId="0" fillId="0" borderId="25" xfId="0" applyBorder="1" applyAlignment="1">
      <alignment horizontal="left"/>
    </xf>
    <xf numFmtId="0" fontId="0" fillId="8" borderId="0" xfId="1" applyFont="1" applyFill="1" applyAlignment="1">
      <alignment horizontal="center"/>
    </xf>
    <xf numFmtId="0" fontId="0" fillId="8" borderId="1" xfId="1" applyFont="1" applyFill="1" applyBorder="1" applyAlignment="1">
      <alignment horizontal="center" wrapText="1"/>
    </xf>
    <xf numFmtId="0" fontId="0" fillId="8" borderId="5" xfId="1" applyFont="1" applyFill="1" applyBorder="1" applyAlignment="1">
      <alignment horizontal="center"/>
    </xf>
    <xf numFmtId="0" fontId="0" fillId="12" borderId="0" xfId="1" applyFont="1" applyFill="1" applyAlignment="1">
      <alignment horizontal="center"/>
    </xf>
    <xf numFmtId="0" fontId="10" fillId="0" borderId="4" xfId="0" applyFont="1" applyBorder="1" applyAlignment="1">
      <alignment horizontal="center" vertical="center"/>
    </xf>
    <xf numFmtId="0" fontId="10" fillId="0" borderId="4" xfId="0" applyFont="1" applyBorder="1" applyAlignment="1">
      <alignment horizontal="center" vertical="center" wrapText="1"/>
    </xf>
    <xf numFmtId="165" fontId="0" fillId="0" borderId="1" xfId="1" applyNumberFormat="1" applyFont="1" applyBorder="1" applyAlignment="1">
      <alignment horizontal="center"/>
    </xf>
    <xf numFmtId="49" fontId="0" fillId="0" borderId="16" xfId="1" applyNumberFormat="1" applyFont="1" applyBorder="1" applyAlignment="1">
      <alignment horizontal="center"/>
    </xf>
    <xf numFmtId="2" fontId="0" fillId="13" borderId="1" xfId="1" applyNumberFormat="1" applyFont="1" applyFill="1" applyBorder="1" applyAlignment="1">
      <alignment horizontal="center"/>
    </xf>
    <xf numFmtId="1" fontId="0" fillId="13" borderId="1" xfId="1" applyNumberFormat="1" applyFont="1" applyFill="1" applyBorder="1" applyAlignment="1">
      <alignment horizontal="center"/>
    </xf>
    <xf numFmtId="2" fontId="0" fillId="13" borderId="2" xfId="1" applyNumberFormat="1" applyFont="1" applyFill="1" applyBorder="1" applyAlignment="1">
      <alignment horizontal="center"/>
    </xf>
    <xf numFmtId="0" fontId="0" fillId="13" borderId="1" xfId="1" applyFont="1" applyFill="1" applyBorder="1" applyAlignment="1">
      <alignment horizontal="center"/>
    </xf>
    <xf numFmtId="0" fontId="10" fillId="13" borderId="2" xfId="0" applyFont="1" applyFill="1" applyBorder="1" applyAlignment="1">
      <alignment horizontal="center" vertical="center"/>
    </xf>
    <xf numFmtId="0" fontId="0" fillId="13" borderId="2" xfId="1" applyFont="1" applyFill="1" applyBorder="1" applyAlignment="1">
      <alignment horizontal="center"/>
    </xf>
    <xf numFmtId="0" fontId="0" fillId="13" borderId="5" xfId="1" applyFont="1" applyFill="1" applyBorder="1" applyAlignment="1">
      <alignment horizontal="center"/>
    </xf>
    <xf numFmtId="0" fontId="0" fillId="13" borderId="16" xfId="1" applyFont="1" applyFill="1" applyBorder="1" applyAlignment="1">
      <alignment horizontal="center"/>
    </xf>
    <xf numFmtId="0" fontId="19" fillId="0" borderId="0" xfId="0" applyFont="1"/>
    <xf numFmtId="0" fontId="0" fillId="8" borderId="1" xfId="0" applyFill="1" applyBorder="1" applyAlignment="1">
      <alignment horizontal="center" vertical="center"/>
    </xf>
    <xf numFmtId="0" fontId="18" fillId="0" borderId="1" xfId="1" applyFont="1" applyBorder="1" applyAlignment="1">
      <alignment horizontal="center"/>
    </xf>
    <xf numFmtId="0" fontId="18" fillId="8" borderId="1" xfId="1" applyFont="1" applyFill="1" applyBorder="1" applyAlignment="1">
      <alignment horizontal="center"/>
    </xf>
    <xf numFmtId="0" fontId="0" fillId="12" borderId="0" xfId="1" applyFont="1" applyFill="1" applyAlignment="1">
      <alignment horizontal="left"/>
    </xf>
    <xf numFmtId="0" fontId="0" fillId="0" borderId="5" xfId="0" applyBorder="1" applyAlignment="1">
      <alignment horizontal="center" vertical="center"/>
    </xf>
    <xf numFmtId="0" fontId="0" fillId="0" borderId="4" xfId="0" applyBorder="1" applyAlignment="1">
      <alignment horizontal="center"/>
    </xf>
    <xf numFmtId="0" fontId="0" fillId="0" borderId="20" xfId="1" applyFont="1" applyBorder="1" applyAlignment="1">
      <alignment horizontal="center"/>
    </xf>
    <xf numFmtId="0" fontId="0" fillId="0" borderId="30" xfId="1" applyFont="1" applyBorder="1" applyAlignment="1">
      <alignment horizontal="center"/>
    </xf>
    <xf numFmtId="0" fontId="0" fillId="9" borderId="36" xfId="1" applyFont="1" applyFill="1" applyBorder="1" applyAlignment="1">
      <alignment horizontal="center"/>
    </xf>
    <xf numFmtId="0" fontId="0" fillId="0" borderId="3" xfId="1" applyFont="1" applyBorder="1" applyAlignment="1">
      <alignment horizontal="center"/>
    </xf>
    <xf numFmtId="0" fontId="0" fillId="8" borderId="3" xfId="0" applyFill="1" applyBorder="1" applyAlignment="1">
      <alignment horizontal="center"/>
    </xf>
    <xf numFmtId="0" fontId="0" fillId="0" borderId="37" xfId="1" applyFont="1" applyBorder="1" applyAlignment="1">
      <alignment horizontal="center"/>
    </xf>
    <xf numFmtId="0" fontId="18" fillId="0" borderId="4" xfId="1" applyFont="1" applyBorder="1" applyAlignment="1">
      <alignment horizontal="center" vertical="center"/>
    </xf>
    <xf numFmtId="0" fontId="0" fillId="9" borderId="3" xfId="1" applyFont="1" applyFill="1" applyBorder="1" applyAlignment="1">
      <alignment horizontal="center"/>
    </xf>
    <xf numFmtId="0" fontId="0" fillId="8" borderId="3" xfId="1" applyFont="1" applyFill="1" applyBorder="1" applyAlignment="1">
      <alignment horizontal="center"/>
    </xf>
    <xf numFmtId="0" fontId="0" fillId="0" borderId="38" xfId="1" applyFont="1" applyBorder="1" applyAlignment="1">
      <alignment horizontal="center"/>
    </xf>
    <xf numFmtId="0" fontId="18" fillId="0" borderId="18" xfId="1" applyFont="1" applyBorder="1" applyAlignment="1">
      <alignment horizontal="center"/>
    </xf>
    <xf numFmtId="0" fontId="10" fillId="0" borderId="1" xfId="1" applyFont="1" applyBorder="1" applyAlignment="1">
      <alignment horizontal="center" wrapText="1"/>
    </xf>
    <xf numFmtId="164" fontId="10" fillId="0" borderId="0" xfId="1" applyNumberFormat="1" applyFont="1" applyAlignment="1">
      <alignment horizontal="center"/>
    </xf>
    <xf numFmtId="0" fontId="10" fillId="0" borderId="16" xfId="1" applyFont="1" applyBorder="1" applyAlignment="1">
      <alignment horizontal="center"/>
    </xf>
    <xf numFmtId="0" fontId="0" fillId="0" borderId="0" xfId="0" quotePrefix="1"/>
    <xf numFmtId="0" fontId="0" fillId="0" borderId="26" xfId="1" applyFont="1" applyBorder="1" applyAlignment="1">
      <alignment horizontal="center" vertical="center"/>
    </xf>
    <xf numFmtId="0" fontId="0" fillId="0" borderId="16" xfId="0" applyBorder="1" applyAlignment="1">
      <alignment horizontal="center"/>
    </xf>
    <xf numFmtId="0" fontId="0" fillId="14" borderId="1" xfId="1" applyFont="1" applyFill="1" applyBorder="1" applyAlignment="1">
      <alignment horizontal="center"/>
    </xf>
    <xf numFmtId="0" fontId="10" fillId="14" borderId="1" xfId="0" applyFont="1" applyFill="1" applyBorder="1" applyAlignment="1">
      <alignment horizontal="center" vertical="center"/>
    </xf>
    <xf numFmtId="0" fontId="0" fillId="14" borderId="0" xfId="1" applyFont="1" applyFill="1" applyAlignment="1">
      <alignment horizontal="center"/>
    </xf>
    <xf numFmtId="0" fontId="10" fillId="14" borderId="1" xfId="1" applyFont="1" applyFill="1" applyBorder="1" applyAlignment="1">
      <alignment horizontal="center"/>
    </xf>
    <xf numFmtId="0" fontId="10" fillId="14" borderId="1" xfId="1" applyFont="1" applyFill="1" applyBorder="1" applyAlignment="1">
      <alignment horizontal="center" wrapText="1"/>
    </xf>
    <xf numFmtId="0" fontId="10" fillId="0" borderId="1" xfId="1" applyFont="1" applyBorder="1" applyAlignment="1">
      <alignment horizontal="center" vertical="center"/>
    </xf>
    <xf numFmtId="0" fontId="10" fillId="11" borderId="1" xfId="1" applyFont="1" applyFill="1" applyBorder="1" applyAlignment="1">
      <alignment horizontal="center" vertical="center"/>
    </xf>
    <xf numFmtId="0" fontId="0" fillId="14" borderId="1" xfId="1" applyFont="1" applyFill="1" applyBorder="1" applyAlignment="1">
      <alignment horizontal="center" wrapText="1"/>
    </xf>
    <xf numFmtId="0" fontId="3" fillId="0" borderId="0" xfId="1" applyAlignment="1">
      <alignment horizontal="center"/>
    </xf>
    <xf numFmtId="0" fontId="0" fillId="13" borderId="28" xfId="1" applyFont="1" applyFill="1" applyBorder="1" applyAlignment="1">
      <alignment horizontal="center" vertical="center"/>
    </xf>
    <xf numFmtId="0" fontId="0" fillId="13" borderId="14" xfId="1" applyFont="1" applyFill="1" applyBorder="1" applyAlignment="1">
      <alignment horizontal="center" vertical="center"/>
    </xf>
    <xf numFmtId="0" fontId="0" fillId="13" borderId="2" xfId="1" applyFont="1" applyFill="1" applyBorder="1" applyAlignment="1">
      <alignment horizontal="center" vertical="center"/>
    </xf>
    <xf numFmtId="0" fontId="18" fillId="0" borderId="25" xfId="1" applyFont="1" applyBorder="1" applyAlignment="1">
      <alignment horizontal="center"/>
    </xf>
    <xf numFmtId="0" fontId="18" fillId="0" borderId="5" xfId="1" applyFont="1" applyBorder="1" applyAlignment="1">
      <alignment horizontal="center"/>
    </xf>
    <xf numFmtId="0" fontId="18" fillId="0" borderId="31" xfId="1" applyFont="1" applyBorder="1" applyAlignment="1">
      <alignment horizontal="center"/>
    </xf>
    <xf numFmtId="0" fontId="18" fillId="0" borderId="2" xfId="0" applyFont="1" applyBorder="1" applyAlignment="1">
      <alignment horizontal="left"/>
    </xf>
    <xf numFmtId="0" fontId="18" fillId="0" borderId="4" xfId="0" applyFont="1" applyBorder="1" applyAlignment="1">
      <alignment horizontal="left"/>
    </xf>
    <xf numFmtId="0" fontId="18" fillId="0" borderId="1" xfId="1" applyFont="1" applyBorder="1" applyAlignment="1">
      <alignment horizontal="center" vertical="center"/>
    </xf>
    <xf numFmtId="0" fontId="18" fillId="0" borderId="1" xfId="0" applyFont="1" applyBorder="1" applyAlignment="1">
      <alignment horizontal="center"/>
    </xf>
    <xf numFmtId="0" fontId="18" fillId="0" borderId="0" xfId="1" applyFont="1" applyAlignment="1">
      <alignment horizontal="center" vertical="center"/>
    </xf>
    <xf numFmtId="0" fontId="18" fillId="0" borderId="0" xfId="0" applyFont="1" applyAlignment="1">
      <alignment horizontal="center"/>
    </xf>
    <xf numFmtId="0" fontId="18" fillId="0" borderId="4" xfId="1" applyFont="1" applyBorder="1" applyAlignment="1">
      <alignment horizontal="center"/>
    </xf>
    <xf numFmtId="0" fontId="18" fillId="0" borderId="19" xfId="1" applyFont="1" applyBorder="1" applyAlignment="1">
      <alignment horizontal="center"/>
    </xf>
    <xf numFmtId="0" fontId="18" fillId="0" borderId="1" xfId="1" applyFont="1" applyBorder="1" applyAlignment="1">
      <alignment horizontal="center" wrapText="1"/>
    </xf>
    <xf numFmtId="3" fontId="0" fillId="0" borderId="0" xfId="0" quotePrefix="1" applyNumberFormat="1"/>
    <xf numFmtId="0" fontId="0" fillId="0" borderId="0" xfId="0">
      <extLst>
        <ext xmlns:xfpb="http://schemas.microsoft.com/office/spreadsheetml/2022/featurepropertybag" uri="{C7286773-470A-42A8-94C5-96B5CB345126}">
          <xfpb:xfComplement i="0"/>
        </ext>
      </extLst>
    </xf>
    <xf numFmtId="0" fontId="18" fillId="8" borderId="3" xfId="1" applyFont="1" applyFill="1" applyBorder="1" applyAlignment="1">
      <alignment horizontal="center"/>
    </xf>
    <xf numFmtId="0" fontId="18" fillId="0" borderId="28" xfId="1" applyFont="1" applyBorder="1" applyAlignment="1">
      <alignment horizontal="center" vertical="center"/>
    </xf>
    <xf numFmtId="0" fontId="18" fillId="0" borderId="9" xfId="0" applyFont="1" applyBorder="1" applyAlignment="1">
      <alignment horizontal="left"/>
    </xf>
    <xf numFmtId="0" fontId="18" fillId="0" borderId="4" xfId="0" applyFont="1" applyBorder="1" applyAlignment="1">
      <alignment horizontal="left"/>
    </xf>
    <xf numFmtId="0" fontId="0" fillId="0" borderId="0" xfId="0" applyAlignment="1">
      <alignment horizontal="left"/>
    </xf>
    <xf numFmtId="0" fontId="0" fillId="0" borderId="0" xfId="0" applyAlignment="1">
      <alignment horizontal="center"/>
    </xf>
    <xf numFmtId="0" fontId="14" fillId="0" borderId="18" xfId="0" applyFont="1" applyBorder="1" applyAlignment="1">
      <alignment horizontal="left"/>
    </xf>
    <xf numFmtId="0" fontId="14" fillId="0" borderId="1" xfId="0" applyFont="1" applyBorder="1" applyAlignment="1">
      <alignment horizontal="left"/>
    </xf>
    <xf numFmtId="0" fontId="0" fillId="0" borderId="26" xfId="0" applyBorder="1" applyAlignment="1">
      <alignment horizontal="left"/>
    </xf>
    <xf numFmtId="0" fontId="0" fillId="0" borderId="1" xfId="0" applyBorder="1" applyAlignment="1">
      <alignment horizontal="left"/>
    </xf>
    <xf numFmtId="0" fontId="0" fillId="0" borderId="1" xfId="0" applyBorder="1"/>
    <xf numFmtId="0" fontId="2" fillId="0" borderId="0" xfId="0" applyFont="1" applyAlignment="1">
      <alignment horizontal="left"/>
    </xf>
    <xf numFmtId="0" fontId="0" fillId="0" borderId="18" xfId="1" applyFont="1" applyBorder="1" applyAlignment="1">
      <alignment horizontal="left" vertical="center"/>
    </xf>
    <xf numFmtId="0" fontId="14" fillId="0" borderId="26" xfId="0" applyFont="1" applyBorder="1" applyAlignment="1">
      <alignment horizontal="left"/>
    </xf>
    <xf numFmtId="0" fontId="0" fillId="0" borderId="24" xfId="0" applyBorder="1" applyAlignment="1">
      <alignment horizontal="center"/>
    </xf>
    <xf numFmtId="0" fontId="0" fillId="0" borderId="18" xfId="0" applyBorder="1" applyAlignment="1">
      <alignment horizontal="left"/>
    </xf>
    <xf numFmtId="0" fontId="0" fillId="0" borderId="19" xfId="0" applyBorder="1" applyAlignment="1">
      <alignment horizontal="left"/>
    </xf>
    <xf numFmtId="0" fontId="2" fillId="0" borderId="25" xfId="0" applyFont="1" applyBorder="1" applyAlignment="1">
      <alignment horizontal="left"/>
    </xf>
    <xf numFmtId="0" fontId="0" fillId="0" borderId="2" xfId="0" applyBorder="1" applyAlignment="1">
      <alignment horizontal="left"/>
    </xf>
    <xf numFmtId="0" fontId="0" fillId="0" borderId="25" xfId="0" applyBorder="1" applyAlignment="1">
      <alignment horizontal="left"/>
    </xf>
    <xf numFmtId="0" fontId="0" fillId="0" borderId="7" xfId="0" applyBorder="1"/>
    <xf numFmtId="0" fontId="0" fillId="0" borderId="7" xfId="0" applyBorder="1" applyAlignment="1">
      <alignment horizontal="left" vertical="center"/>
    </xf>
    <xf numFmtId="0" fontId="10" fillId="0" borderId="1" xfId="0" applyFont="1" applyBorder="1" applyAlignment="1">
      <alignment horizontal="left"/>
    </xf>
    <xf numFmtId="0" fontId="0" fillId="12" borderId="7" xfId="0" applyFill="1" applyBorder="1"/>
    <xf numFmtId="0" fontId="14" fillId="0" borderId="19" xfId="0" applyFont="1" applyBorder="1" applyAlignment="1">
      <alignment horizontal="left"/>
    </xf>
    <xf numFmtId="0" fontId="0" fillId="0" borderId="7" xfId="0" applyBorder="1" applyAlignment="1">
      <alignment horizontal="left"/>
    </xf>
    <xf numFmtId="0" fontId="2" fillId="0" borderId="8" xfId="0" applyFont="1" applyBorder="1" applyAlignment="1">
      <alignment horizontal="left"/>
    </xf>
    <xf numFmtId="0" fontId="10" fillId="0" borderId="7" xfId="0" applyFont="1" applyBorder="1" applyAlignment="1">
      <alignment horizontal="left"/>
    </xf>
    <xf numFmtId="0" fontId="0" fillId="0" borderId="9" xfId="0" applyBorder="1" applyAlignment="1">
      <alignment horizontal="left"/>
    </xf>
    <xf numFmtId="0" fontId="15" fillId="0" borderId="0" xfId="0" applyFont="1" applyAlignment="1">
      <alignment horizontal="left"/>
    </xf>
    <xf numFmtId="0" fontId="0" fillId="0" borderId="1" xfId="1" applyFont="1" applyBorder="1" applyAlignment="1">
      <alignment horizontal="left" vertical="center"/>
    </xf>
    <xf numFmtId="0" fontId="0" fillId="0" borderId="19" xfId="1" applyFont="1" applyBorder="1" applyAlignment="1">
      <alignment horizontal="left" vertical="center"/>
    </xf>
    <xf numFmtId="0" fontId="0" fillId="0" borderId="8" xfId="0" applyBorder="1" applyAlignment="1">
      <alignment horizontal="center"/>
    </xf>
    <xf numFmtId="0" fontId="11" fillId="4" borderId="12" xfId="0" applyFont="1" applyFill="1" applyBorder="1" applyAlignment="1">
      <alignment horizontal="left"/>
    </xf>
    <xf numFmtId="0" fontId="0" fillId="0" borderId="10" xfId="0" applyBorder="1"/>
    <xf numFmtId="0" fontId="0" fillId="0" borderId="9" xfId="0" applyBorder="1" applyAlignment="1">
      <alignment horizontal="center"/>
    </xf>
    <xf numFmtId="0" fontId="0" fillId="0" borderId="9" xfId="0" applyBorder="1" applyAlignment="1">
      <alignment horizontal="left" vertical="center"/>
    </xf>
    <xf numFmtId="0" fontId="18" fillId="0" borderId="7" xfId="0" applyFont="1" applyBorder="1" applyAlignment="1">
      <alignment horizontal="left"/>
    </xf>
    <xf numFmtId="0" fontId="18" fillId="0" borderId="1" xfId="0" applyFont="1" applyBorder="1" applyAlignment="1">
      <alignment horizontal="left"/>
    </xf>
    <xf numFmtId="0" fontId="10" fillId="0" borderId="9" xfId="0" applyFont="1" applyBorder="1" applyAlignment="1">
      <alignment horizontal="left"/>
    </xf>
    <xf numFmtId="0" fontId="0" fillId="0" borderId="18" xfId="0" applyBorder="1"/>
    <xf numFmtId="0" fontId="0" fillId="0" borderId="22" xfId="0" applyBorder="1" applyAlignment="1">
      <alignment horizontal="left"/>
    </xf>
    <xf numFmtId="0" fontId="18" fillId="0" borderId="2" xfId="0" applyFont="1" applyBorder="1" applyAlignment="1">
      <alignment horizontal="left"/>
    </xf>
    <xf numFmtId="0" fontId="0" fillId="3" borderId="8" xfId="0" applyFill="1" applyBorder="1" applyAlignment="1">
      <alignment horizontal="center"/>
    </xf>
    <xf numFmtId="0" fontId="2" fillId="0" borderId="0" xfId="1" applyFont="1" applyAlignment="1">
      <alignment horizontal="left"/>
    </xf>
    <xf numFmtId="0" fontId="0" fillId="0" borderId="1" xfId="1" applyFont="1" applyBorder="1" applyAlignment="1">
      <alignment horizontal="left"/>
    </xf>
    <xf numFmtId="0" fontId="0" fillId="0" borderId="24" xfId="0" applyBorder="1" applyAlignment="1">
      <alignment horizontal="left"/>
    </xf>
    <xf numFmtId="0" fontId="0" fillId="0" borderId="25" xfId="0" applyBorder="1" applyAlignment="1">
      <alignment horizontal="center"/>
    </xf>
    <xf numFmtId="0" fontId="2" fillId="0" borderId="0" xfId="0" applyFont="1"/>
    <xf numFmtId="0" fontId="0" fillId="0" borderId="1" xfId="0" applyBorder="1" applyAlignment="1">
      <alignment horizontal="left" vertical="center"/>
    </xf>
    <xf numFmtId="0" fontId="18" fillId="0" borderId="3" xfId="0" applyFont="1" applyBorder="1"/>
    <xf numFmtId="0" fontId="18" fillId="0" borderId="4" xfId="0" applyFont="1" applyBorder="1"/>
    <xf numFmtId="0" fontId="3" fillId="0" borderId="25" xfId="1" applyBorder="1" applyAlignment="1">
      <alignment horizontal="left"/>
    </xf>
    <xf numFmtId="0" fontId="0" fillId="0" borderId="3" xfId="0" applyBorder="1" applyAlignment="1">
      <alignment horizontal="left"/>
    </xf>
    <xf numFmtId="0" fontId="0" fillId="0" borderId="24" xfId="1" applyFont="1" applyBorder="1" applyAlignment="1">
      <alignment horizontal="center"/>
    </xf>
    <xf numFmtId="0" fontId="0" fillId="0" borderId="0" xfId="1" applyFont="1" applyAlignment="1">
      <alignment horizontal="center"/>
    </xf>
    <xf numFmtId="0" fontId="0" fillId="0" borderId="3" xfId="0" applyBorder="1" applyAlignment="1">
      <alignment horizontal="center"/>
    </xf>
    <xf numFmtId="0" fontId="0" fillId="0" borderId="0" xfId="0" applyAlignment="1">
      <alignment horizontal="center" vertical="center"/>
    </xf>
    <xf numFmtId="0" fontId="18" fillId="0" borderId="0" xfId="0" applyFont="1" applyAlignment="1">
      <alignment horizontal="center" wrapText="1"/>
    </xf>
    <xf numFmtId="0" fontId="0" fillId="0" borderId="12" xfId="0" applyBorder="1" applyAlignment="1">
      <alignment horizontal="center" vertical="top" wrapText="1"/>
    </xf>
    <xf numFmtId="0" fontId="0" fillId="0" borderId="11" xfId="0" applyBorder="1" applyAlignment="1">
      <alignment horizontal="center" vertical="top" wrapText="1"/>
    </xf>
    <xf numFmtId="0" fontId="0" fillId="0" borderId="35" xfId="0" applyBorder="1" applyAlignment="1">
      <alignment horizontal="center" vertical="top" wrapText="1"/>
    </xf>
  </cellXfs>
  <cellStyles count="13">
    <cellStyle name="Conclusion" xfId="5" xr:uid="{75EE322F-0AC0-4120-9413-6F1D2A460873}"/>
    <cellStyle name="HEADING" xfId="10" xr:uid="{471FC945-C994-446B-8096-2BB3193470CD}"/>
    <cellStyle name="Input 2" xfId="6" xr:uid="{9F189826-BD71-4F57-A09E-EA1F1522AB90}"/>
    <cellStyle name="Key Result" xfId="7" xr:uid="{C2AD18CB-4B28-4E71-B459-A7F0E433B7DA}"/>
    <cellStyle name="Key Result 2" xfId="11" xr:uid="{CD6A17E5-50C5-404C-BFFB-40093A54F8E2}"/>
    <cellStyle name="Normal" xfId="0" builtinId="0"/>
    <cellStyle name="Normal 2" xfId="2" xr:uid="{463F9CCC-6743-445D-9F7B-964522A3C27C}"/>
    <cellStyle name="Normal 2 2" xfId="12" xr:uid="{FCB24C46-B513-4F1A-B89B-016DABEA3388}"/>
    <cellStyle name="Normal 3" xfId="4" xr:uid="{E06914C5-D43B-4A2D-BB3E-C465DF37C038}"/>
    <cellStyle name="Reference" xfId="8" xr:uid="{2B729C49-CE56-4F5A-8986-779D5CDE7729}"/>
    <cellStyle name="Standard 2" xfId="1" xr:uid="{32E77007-6BD5-446D-9265-CC6FB2B1BE11}"/>
    <cellStyle name="Standard 2 2" xfId="3" xr:uid="{F8A0E0FB-2E47-4E95-AB7C-E6553B4AE6D7}"/>
    <cellStyle name="Table Heading" xfId="9" xr:uid="{EF9CC9E3-7589-47B5-A4E6-2B0A2A5AA2F4}"/>
  </cellStyles>
  <dxfs count="13">
    <dxf>
      <fill>
        <patternFill>
          <bgColor theme="0" tint="-4.9989318521683403E-2"/>
        </patternFill>
      </fill>
    </dxf>
    <dxf>
      <fill>
        <patternFill>
          <bgColor theme="0" tint="-0.14996795556505021"/>
        </patternFill>
      </fill>
    </dxf>
    <dxf>
      <fill>
        <patternFill>
          <bgColor theme="0" tint="-0.14996795556505021"/>
        </patternFill>
      </fill>
    </dxf>
    <dxf>
      <border>
        <left style="thin">
          <color auto="1"/>
        </left>
        <right style="thin">
          <color auto="1"/>
        </right>
        <top style="thin">
          <color auto="1"/>
        </top>
        <bottom style="thin">
          <color auto="1"/>
        </bottom>
        <vertical style="thin">
          <color auto="1"/>
        </vertical>
        <horizontal style="thin">
          <color auto="1"/>
        </horizontal>
      </border>
    </dxf>
    <dxf>
      <fill>
        <patternFill>
          <bgColor theme="4" tint="0.59996337778862885"/>
        </patternFill>
      </fill>
    </dxf>
    <dxf>
      <fill>
        <patternFill>
          <bgColor theme="4" tint="0.59996337778862885"/>
        </patternFill>
      </fill>
    </dxf>
    <dxf>
      <fill>
        <patternFill>
          <bgColor theme="0" tint="-0.14996795556505021"/>
        </patternFill>
      </fill>
    </dxf>
    <dxf>
      <fill>
        <patternFill>
          <bgColor theme="0" tint="-0.14996795556505021"/>
        </patternFill>
      </fill>
    </dxf>
    <dxf>
      <fill>
        <patternFill>
          <bgColor theme="0"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2" defaultPivotStyle="PivotStyleLight16">
    <tableStyle name="Buro Happold PivotTable" table="0" count="9" xr9:uid="{300A3917-80F0-4DA1-AE9E-512F4EABF55D}">
      <tableStyleElement type="wholeTable" dxfId="12"/>
      <tableStyleElement type="headerRow" dxfId="11"/>
      <tableStyleElement type="totalRow" dxfId="10"/>
      <tableStyleElement type="lastColumn" dxfId="9"/>
      <tableStyleElement type="secondRowStripe" dxfId="8"/>
      <tableStyleElement type="firstSubtotalColumn" dxfId="7"/>
      <tableStyleElement type="firstSubtotalRow" dxfId="6"/>
      <tableStyleElement type="firstColumnSubheading" dxfId="5"/>
      <tableStyleElement type="firstRowSubheading" dxfId="4"/>
    </tableStyle>
    <tableStyle name="Buro Happold Table" pivot="0" count="4" xr9:uid="{52950C4E-7233-4724-9376-42AED407E512}">
      <tableStyleElement type="wholeTable" dxfId="3"/>
      <tableStyleElement type="headerRow" dxfId="2"/>
      <tableStyleElement type="totalRow"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customXml" Target="../customXml/item3.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Marc Hense" id="{DC010235-6840-413F-93A4-F9C03FB391AF}" userId="S::marc.hense@burohappold.com::e08e8943-9772-4061-964b-c509a11bcd5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0" dT="2026-01-28T16:48:21.69" personId="{DC010235-6840-413F-93A4-F9C03FB391AF}" id="{119B67E8-5E79-4617-8834-1D78BE097AA6}">
    <text>EN81-20: 5.7.2.3.6</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F3E83-23DE-459D-8AB8-6CA1795A5AD4}">
  <sheetPr>
    <pageSetUpPr fitToPage="1"/>
  </sheetPr>
  <dimension ref="A1:AD443"/>
  <sheetViews>
    <sheetView zoomScale="55" zoomScaleNormal="55" workbookViewId="0">
      <pane xSplit="8" ySplit="9" topLeftCell="I301" activePane="bottomRight" state="frozen"/>
      <selection pane="topRight" activeCell="F1" sqref="F1"/>
      <selection pane="bottomLeft" activeCell="A10" sqref="A10"/>
      <selection pane="bottomRight" activeCell="H266" sqref="H266"/>
    </sheetView>
  </sheetViews>
  <sheetFormatPr defaultColWidth="11.42578125" defaultRowHeight="15" outlineLevelRow="1" x14ac:dyDescent="0.25"/>
  <cols>
    <col min="1" max="1" width="31.7109375" customWidth="1"/>
    <col min="2" max="2" width="8" customWidth="1"/>
    <col min="3" max="3" width="4.7109375" style="2" customWidth="1"/>
    <col min="4" max="4" width="8" style="16" customWidth="1"/>
    <col min="5" max="5" width="13.42578125" style="16" customWidth="1"/>
    <col min="6" max="6" width="42.7109375" style="2" customWidth="1"/>
    <col min="7" max="7" width="10.85546875" style="2" customWidth="1"/>
    <col min="8" max="8" width="13.5703125" style="16" customWidth="1"/>
    <col min="9" max="9" width="8" style="2" customWidth="1"/>
    <col min="10" max="10" width="3.28515625" style="2" customWidth="1"/>
    <col min="11" max="11" width="39.42578125" style="2" customWidth="1"/>
    <col min="12" max="12" width="7.7109375" style="2" customWidth="1"/>
    <col min="13" max="13" width="23.28515625" style="2" customWidth="1"/>
    <col min="14" max="14" width="22.85546875" style="2" customWidth="1"/>
    <col min="15" max="15" width="20.140625" style="2" customWidth="1"/>
    <col min="16" max="16" width="18.42578125" style="2" customWidth="1"/>
    <col min="17" max="17" width="20.28515625" style="2" customWidth="1"/>
    <col min="18" max="18" width="20.7109375" style="2" customWidth="1"/>
    <col min="19" max="19" width="24.140625" style="2" customWidth="1"/>
    <col min="20" max="20" width="25.7109375" style="2" customWidth="1"/>
    <col min="21" max="21" width="20.140625" style="2" customWidth="1"/>
    <col min="22" max="16384" width="11.42578125" style="2"/>
  </cols>
  <sheetData>
    <row r="1" spans="1:24" ht="15.75" thickBot="1" x14ac:dyDescent="0.3">
      <c r="A1" s="241"/>
      <c r="B1" s="241"/>
      <c r="C1" s="241"/>
      <c r="D1" s="241"/>
      <c r="E1" s="241"/>
      <c r="F1" s="241"/>
      <c r="G1" s="241"/>
      <c r="H1" s="241"/>
      <c r="I1" s="241"/>
      <c r="J1" s="241"/>
      <c r="K1" s="241"/>
      <c r="L1" s="241"/>
      <c r="M1" s="241"/>
      <c r="N1" s="18"/>
    </row>
    <row r="2" spans="1:24" ht="65.25" customHeight="1" thickBot="1" x14ac:dyDescent="0.35">
      <c r="A2" s="231" t="s">
        <v>0</v>
      </c>
      <c r="B2" s="231"/>
      <c r="C2" s="21"/>
      <c r="D2" s="22" t="s">
        <v>1</v>
      </c>
      <c r="E2" s="124" t="s">
        <v>2</v>
      </c>
      <c r="F2" s="96" t="s">
        <v>3</v>
      </c>
      <c r="G2" s="22" t="s">
        <v>4</v>
      </c>
      <c r="H2" s="23" t="s">
        <v>5</v>
      </c>
      <c r="I2" s="44"/>
      <c r="J2" s="24"/>
      <c r="K2" s="23" t="s">
        <v>6</v>
      </c>
      <c r="L2" s="25"/>
      <c r="M2" s="26">
        <v>1</v>
      </c>
      <c r="N2" s="27">
        <v>2</v>
      </c>
      <c r="O2" s="27">
        <v>3</v>
      </c>
      <c r="P2" s="27">
        <v>4</v>
      </c>
      <c r="Q2" s="27">
        <v>5</v>
      </c>
      <c r="R2" s="27">
        <v>6</v>
      </c>
      <c r="S2" s="27">
        <v>7</v>
      </c>
      <c r="T2" s="27">
        <v>8</v>
      </c>
      <c r="U2" s="27">
        <v>9</v>
      </c>
    </row>
    <row r="3" spans="1:24" ht="100.15" customHeight="1" x14ac:dyDescent="0.25">
      <c r="A3" s="232" t="s">
        <v>7</v>
      </c>
      <c r="B3" s="232"/>
      <c r="D3" s="13"/>
      <c r="E3" s="13"/>
      <c r="F3" s="75" t="s">
        <v>8</v>
      </c>
      <c r="G3" s="75"/>
      <c r="H3" s="19" t="s">
        <v>9</v>
      </c>
      <c r="K3" s="20"/>
      <c r="M3" s="29" t="str">
        <f t="shared" ref="M3:U3" si="0">CONCATENATE(M11,"_",M19,"_",M29,"_",M20,"kg-",M22,"ms-",M34,"x",M35,"x",M37,"_",M45)</f>
        <v>Traction - MR_CWT-Left_Front_630kg-1.6ms-1100x1400x2200_2L</v>
      </c>
      <c r="N3" s="29" t="str">
        <f t="shared" si="0"/>
        <v>Traction - MRL_CWT-Left_Front_1000kg-1.6ms-1100x2100x2200_2L</v>
      </c>
      <c r="O3" s="29" t="str">
        <f t="shared" si="0"/>
        <v>Traction - MRL_CWT-Right_Front_1275kg-1ms-1200x2300x2300_2R</v>
      </c>
      <c r="P3" s="29" t="str">
        <f t="shared" si="0"/>
        <v>Traction - MRL_CWT-Left_Front + Rear_1350kg-1.6ms-2000x1500x2300_2C</v>
      </c>
      <c r="Q3" s="29" t="str">
        <f t="shared" si="0"/>
        <v>Traction - MRL_CWT-Left_Front_1600kg-1ms-2100x1600x2400_2C</v>
      </c>
      <c r="R3" s="29" t="str">
        <f t="shared" si="0"/>
        <v>Traction - MRL_CWT-Left_Front + Rear_1850kg-1ms-Wrong shapexnon std. Cabin typex2400_2C</v>
      </c>
      <c r="S3" s="29" t="str">
        <f t="shared" si="0"/>
        <v>Traction - MRL_CWT-Left_Front + Rear_2000kg-1.6ms-1500x2700x2300_4C</v>
      </c>
      <c r="T3" s="29" t="str">
        <f t="shared" si="0"/>
        <v>Traction - MRL_CWT-Right_Front + Rear_2500kg-1ms-1800x2700x2300_4C</v>
      </c>
      <c r="U3" s="29" t="str">
        <f t="shared" si="0"/>
        <v>Traction - MRL_CWT-Left_Front + Rear_3500kg-1ms-2100x3000x2400_4C</v>
      </c>
    </row>
    <row r="4" spans="1:24" ht="14.1" customHeight="1" x14ac:dyDescent="0.25">
      <c r="A4" s="218" t="s">
        <v>10</v>
      </c>
      <c r="B4" s="218"/>
      <c r="D4" s="15" t="s">
        <v>9</v>
      </c>
      <c r="E4" s="121" t="s">
        <v>11</v>
      </c>
      <c r="F4" s="97" t="s">
        <v>12</v>
      </c>
      <c r="G4" s="97" t="s">
        <v>11</v>
      </c>
      <c r="H4" s="14" t="s">
        <v>9</v>
      </c>
      <c r="K4" s="10"/>
      <c r="M4" s="5"/>
      <c r="N4" s="76"/>
      <c r="O4" s="5"/>
      <c r="P4" s="5"/>
      <c r="Q4" s="5"/>
      <c r="R4" s="5"/>
      <c r="S4" s="5"/>
      <c r="T4" s="5"/>
      <c r="U4" s="5"/>
      <c r="W4" s="174"/>
      <c r="X4" s="45" t="s">
        <v>13</v>
      </c>
    </row>
    <row r="5" spans="1:24" ht="15" customHeight="1" x14ac:dyDescent="0.25">
      <c r="A5" s="232" t="s">
        <v>14</v>
      </c>
      <c r="B5" s="232"/>
      <c r="D5" s="13" t="s">
        <v>9</v>
      </c>
      <c r="E5" s="121" t="s">
        <v>11</v>
      </c>
      <c r="F5" s="75" t="s">
        <v>8</v>
      </c>
      <c r="G5" s="75" t="s">
        <v>9</v>
      </c>
      <c r="H5" s="19" t="s">
        <v>9</v>
      </c>
      <c r="K5" s="20"/>
      <c r="M5" s="19"/>
      <c r="N5" s="13"/>
      <c r="O5" s="5"/>
      <c r="P5" s="5"/>
      <c r="Q5" s="5"/>
      <c r="R5" s="5"/>
      <c r="S5" s="5"/>
      <c r="T5" s="5"/>
      <c r="U5" s="5"/>
    </row>
    <row r="6" spans="1:24" ht="14.1" customHeight="1" x14ac:dyDescent="0.25">
      <c r="A6" s="218" t="s">
        <v>15</v>
      </c>
      <c r="B6" s="218"/>
      <c r="D6" s="15" t="s">
        <v>9</v>
      </c>
      <c r="E6" s="121" t="s">
        <v>11</v>
      </c>
      <c r="F6" s="76" t="s">
        <v>16</v>
      </c>
      <c r="G6" s="76" t="s">
        <v>9</v>
      </c>
      <c r="H6" s="14" t="s">
        <v>9</v>
      </c>
      <c r="K6" s="5"/>
      <c r="M6" s="5"/>
      <c r="N6" s="76"/>
      <c r="O6" s="5"/>
      <c r="P6" s="5"/>
      <c r="Q6" s="5"/>
      <c r="R6" s="5"/>
      <c r="S6" s="5"/>
      <c r="T6" s="5"/>
      <c r="U6" s="5"/>
    </row>
    <row r="7" spans="1:24" ht="14.1" customHeight="1" x14ac:dyDescent="0.25">
      <c r="A7" s="218" t="s">
        <v>17</v>
      </c>
      <c r="B7" s="218"/>
      <c r="D7" s="15" t="s">
        <v>9</v>
      </c>
      <c r="E7" s="121" t="s">
        <v>11</v>
      </c>
      <c r="F7" s="76" t="s">
        <v>16</v>
      </c>
      <c r="G7" s="76" t="s">
        <v>9</v>
      </c>
      <c r="H7" s="14" t="s">
        <v>9</v>
      </c>
      <c r="K7" s="5"/>
      <c r="M7" s="5"/>
      <c r="N7" s="76"/>
      <c r="O7" s="5"/>
      <c r="P7" s="5"/>
      <c r="Q7" s="5"/>
      <c r="R7" s="5"/>
      <c r="S7" s="5"/>
      <c r="T7" s="5"/>
      <c r="U7" s="5"/>
    </row>
    <row r="8" spans="1:24" ht="14.1" customHeight="1" x14ac:dyDescent="0.25">
      <c r="A8" s="223" t="s">
        <v>18</v>
      </c>
      <c r="B8" s="223"/>
      <c r="D8" s="15" t="s">
        <v>9</v>
      </c>
      <c r="E8" s="121" t="s">
        <v>11</v>
      </c>
      <c r="F8" s="76" t="s">
        <v>16</v>
      </c>
      <c r="G8" s="76" t="s">
        <v>9</v>
      </c>
      <c r="H8" s="14" t="s">
        <v>9</v>
      </c>
      <c r="K8" s="5"/>
      <c r="M8" s="5"/>
      <c r="N8" s="76"/>
      <c r="O8" s="5"/>
      <c r="P8" s="5"/>
      <c r="Q8" s="5"/>
      <c r="R8" s="5"/>
      <c r="S8" s="5"/>
      <c r="T8" s="5"/>
      <c r="U8" s="5"/>
    </row>
    <row r="9" spans="1:24" ht="14.1" customHeight="1" x14ac:dyDescent="0.25">
      <c r="A9" s="223" t="s">
        <v>19</v>
      </c>
      <c r="B9" s="223"/>
      <c r="D9" s="15" t="s">
        <v>9</v>
      </c>
      <c r="E9" s="121" t="s">
        <v>11</v>
      </c>
      <c r="F9" s="76" t="s">
        <v>16</v>
      </c>
      <c r="G9" s="76" t="s">
        <v>9</v>
      </c>
      <c r="H9" s="14" t="s">
        <v>9</v>
      </c>
      <c r="K9" s="5"/>
      <c r="M9" s="5"/>
      <c r="N9" s="76"/>
      <c r="O9" s="5"/>
      <c r="P9" s="5"/>
      <c r="Q9" s="5"/>
      <c r="R9" s="5"/>
      <c r="S9" s="5"/>
      <c r="T9" s="5"/>
      <c r="U9" s="5"/>
    </row>
    <row r="10" spans="1:24" ht="15" customHeight="1" x14ac:dyDescent="0.25">
      <c r="A10" s="233"/>
      <c r="B10" s="233"/>
      <c r="H10" s="35"/>
      <c r="K10" s="5"/>
      <c r="M10" s="5"/>
      <c r="N10" s="76"/>
      <c r="O10" s="5"/>
      <c r="P10" s="5"/>
      <c r="Q10" s="5"/>
      <c r="R10" s="5"/>
      <c r="S10" s="5"/>
      <c r="T10" s="5"/>
      <c r="U10" s="5"/>
    </row>
    <row r="11" spans="1:24" ht="15" customHeight="1" x14ac:dyDescent="0.25">
      <c r="A11" s="223" t="s">
        <v>20</v>
      </c>
      <c r="B11" s="223"/>
      <c r="D11" s="33" t="s">
        <v>9</v>
      </c>
      <c r="E11" s="121" t="s">
        <v>11</v>
      </c>
      <c r="F11" s="32" t="s">
        <v>16</v>
      </c>
      <c r="G11" s="32" t="s">
        <v>9</v>
      </c>
      <c r="H11" s="33" t="s">
        <v>9</v>
      </c>
      <c r="K11" s="5"/>
      <c r="M11" s="5" t="s">
        <v>21</v>
      </c>
      <c r="N11" s="76" t="s">
        <v>22</v>
      </c>
      <c r="O11" s="5" t="s">
        <v>22</v>
      </c>
      <c r="P11" s="5" t="s">
        <v>22</v>
      </c>
      <c r="Q11" s="5" t="s">
        <v>22</v>
      </c>
      <c r="R11" s="5" t="s">
        <v>22</v>
      </c>
      <c r="S11" s="5" t="s">
        <v>22</v>
      </c>
      <c r="T11" s="5" t="s">
        <v>22</v>
      </c>
      <c r="U11" s="5" t="s">
        <v>22</v>
      </c>
    </row>
    <row r="12" spans="1:24" ht="15" customHeight="1" x14ac:dyDescent="0.25">
      <c r="A12" s="223" t="s">
        <v>23</v>
      </c>
      <c r="B12" s="223"/>
      <c r="D12" s="33" t="s">
        <v>9</v>
      </c>
      <c r="E12" s="121" t="s">
        <v>11</v>
      </c>
      <c r="F12" s="32" t="s">
        <v>16</v>
      </c>
      <c r="G12" s="32" t="s">
        <v>9</v>
      </c>
      <c r="H12" s="33" t="s">
        <v>9</v>
      </c>
      <c r="K12" s="5"/>
      <c r="M12" s="5"/>
      <c r="N12" s="83"/>
      <c r="O12" s="5"/>
      <c r="P12" s="5"/>
      <c r="Q12" s="5"/>
      <c r="R12" s="5"/>
      <c r="S12" s="5"/>
      <c r="T12" s="5"/>
      <c r="U12" s="5"/>
    </row>
    <row r="13" spans="1:24" ht="15" customHeight="1" x14ac:dyDescent="0.25">
      <c r="A13" s="223" t="s">
        <v>24</v>
      </c>
      <c r="B13" s="223"/>
      <c r="D13" s="33" t="s">
        <v>25</v>
      </c>
      <c r="E13" s="121" t="s">
        <v>11</v>
      </c>
      <c r="F13" s="32" t="s">
        <v>16</v>
      </c>
      <c r="G13" s="32" t="s">
        <v>9</v>
      </c>
      <c r="H13" s="33" t="s">
        <v>9</v>
      </c>
      <c r="K13" s="5"/>
      <c r="M13" s="5" t="s">
        <v>16</v>
      </c>
      <c r="N13" s="76" t="s">
        <v>16</v>
      </c>
      <c r="O13" s="5" t="s">
        <v>16</v>
      </c>
      <c r="P13" s="5" t="s">
        <v>16</v>
      </c>
      <c r="Q13" s="5" t="s">
        <v>16</v>
      </c>
      <c r="R13" s="5" t="s">
        <v>16</v>
      </c>
      <c r="S13" s="5" t="s">
        <v>16</v>
      </c>
      <c r="T13" s="5" t="s">
        <v>16</v>
      </c>
      <c r="U13" s="5" t="s">
        <v>16</v>
      </c>
    </row>
    <row r="14" spans="1:24" ht="15" customHeight="1" x14ac:dyDescent="0.25">
      <c r="A14" s="223" t="s">
        <v>26</v>
      </c>
      <c r="B14" s="223"/>
      <c r="D14" s="33" t="s">
        <v>9</v>
      </c>
      <c r="E14" s="121" t="s">
        <v>11</v>
      </c>
      <c r="F14" s="32" t="s">
        <v>16</v>
      </c>
      <c r="G14" s="32" t="s">
        <v>9</v>
      </c>
      <c r="H14" s="33" t="s">
        <v>9</v>
      </c>
      <c r="K14" s="37"/>
      <c r="M14" s="5"/>
      <c r="N14" s="76"/>
      <c r="O14" s="5"/>
      <c r="P14" s="5"/>
      <c r="Q14" s="5"/>
      <c r="R14" s="5"/>
      <c r="S14" s="5"/>
      <c r="T14" s="5"/>
      <c r="U14" s="5"/>
    </row>
    <row r="15" spans="1:24" ht="15" customHeight="1" x14ac:dyDescent="0.25">
      <c r="A15" s="218" t="s">
        <v>27</v>
      </c>
      <c r="B15" s="218"/>
      <c r="D15" s="33" t="s">
        <v>9</v>
      </c>
      <c r="E15" s="121" t="s">
        <v>11</v>
      </c>
      <c r="F15" s="32" t="s">
        <v>16</v>
      </c>
      <c r="G15" s="32" t="s">
        <v>9</v>
      </c>
      <c r="H15" s="33" t="s">
        <v>9</v>
      </c>
      <c r="K15" s="32"/>
      <c r="M15" s="37"/>
      <c r="N15" s="77"/>
      <c r="O15" s="5"/>
      <c r="P15" s="5"/>
      <c r="Q15" s="5"/>
      <c r="R15" s="5"/>
      <c r="S15" s="5"/>
      <c r="T15" s="5"/>
      <c r="U15" s="5"/>
    </row>
    <row r="16" spans="1:24" ht="15" customHeight="1" x14ac:dyDescent="0.25">
      <c r="A16" s="230"/>
      <c r="B16" s="230"/>
      <c r="M16" s="67"/>
      <c r="N16" s="67"/>
      <c r="O16" s="67"/>
      <c r="P16" s="67"/>
      <c r="Q16" s="67"/>
      <c r="R16" s="67"/>
      <c r="S16" s="67"/>
      <c r="T16" s="67"/>
      <c r="U16" s="67"/>
    </row>
    <row r="17" spans="1:30" ht="15" customHeight="1" x14ac:dyDescent="0.25">
      <c r="A17" s="224" t="s">
        <v>28</v>
      </c>
      <c r="B17" s="224"/>
      <c r="M17" s="68"/>
      <c r="N17" s="68"/>
      <c r="O17" s="68"/>
      <c r="P17" s="68"/>
      <c r="Q17" s="68"/>
      <c r="R17" s="68"/>
      <c r="S17" s="68"/>
      <c r="T17" s="68"/>
      <c r="U17" s="68"/>
    </row>
    <row r="18" spans="1:30" ht="15" customHeight="1" x14ac:dyDescent="0.25">
      <c r="A18" s="223" t="s">
        <v>29</v>
      </c>
      <c r="B18" s="223"/>
      <c r="D18" s="87" t="s">
        <v>9</v>
      </c>
      <c r="E18" s="121" t="s">
        <v>11</v>
      </c>
      <c r="F18" s="158" t="s">
        <v>16</v>
      </c>
      <c r="G18" s="5" t="s">
        <v>9</v>
      </c>
      <c r="H18" s="56" t="s">
        <v>9</v>
      </c>
      <c r="K18" s="32"/>
      <c r="M18" s="20"/>
      <c r="N18" s="75"/>
      <c r="O18" s="5"/>
      <c r="P18" s="5"/>
      <c r="Q18" s="5"/>
      <c r="R18" s="5"/>
      <c r="S18" s="5"/>
      <c r="T18" s="5"/>
      <c r="U18" s="5"/>
      <c r="AD18" s="47"/>
    </row>
    <row r="19" spans="1:30" ht="15" customHeight="1" x14ac:dyDescent="0.25">
      <c r="A19" s="223" t="s">
        <v>30</v>
      </c>
      <c r="B19" s="223"/>
      <c r="D19" s="87" t="s">
        <v>9</v>
      </c>
      <c r="E19" s="121" t="s">
        <v>11</v>
      </c>
      <c r="F19" s="162" t="s">
        <v>31</v>
      </c>
      <c r="G19" s="57" t="s">
        <v>11</v>
      </c>
      <c r="H19" s="56" t="s">
        <v>9</v>
      </c>
      <c r="K19" s="32"/>
      <c r="M19" s="5" t="s">
        <v>32</v>
      </c>
      <c r="N19" s="76" t="s">
        <v>32</v>
      </c>
      <c r="O19" s="5" t="s">
        <v>33</v>
      </c>
      <c r="P19" s="5" t="s">
        <v>32</v>
      </c>
      <c r="Q19" s="5" t="s">
        <v>32</v>
      </c>
      <c r="R19" s="5" t="s">
        <v>32</v>
      </c>
      <c r="S19" s="5" t="s">
        <v>32</v>
      </c>
      <c r="T19" s="5" t="s">
        <v>33</v>
      </c>
      <c r="U19" s="5" t="s">
        <v>32</v>
      </c>
      <c r="AD19" s="47"/>
    </row>
    <row r="20" spans="1:30" ht="15" customHeight="1" x14ac:dyDescent="0.25">
      <c r="A20" s="218" t="s">
        <v>34</v>
      </c>
      <c r="B20" s="218"/>
      <c r="D20" s="87" t="s">
        <v>35</v>
      </c>
      <c r="E20" s="121" t="s">
        <v>11</v>
      </c>
      <c r="F20" s="163" t="s">
        <v>36</v>
      </c>
      <c r="G20" s="57" t="s">
        <v>11</v>
      </c>
      <c r="H20" s="56" t="s">
        <v>9</v>
      </c>
      <c r="K20" s="32"/>
      <c r="M20" s="141">
        <v>630</v>
      </c>
      <c r="N20" s="144">
        <v>1000</v>
      </c>
      <c r="O20" s="143">
        <v>1275</v>
      </c>
      <c r="P20" s="143">
        <v>1350</v>
      </c>
      <c r="Q20" s="143">
        <v>1600</v>
      </c>
      <c r="R20" s="143">
        <v>1850</v>
      </c>
      <c r="S20" s="143">
        <v>2000</v>
      </c>
      <c r="T20" s="143">
        <v>2500</v>
      </c>
      <c r="U20" s="143">
        <v>3500</v>
      </c>
      <c r="AD20" s="47"/>
    </row>
    <row r="21" spans="1:30" ht="15" customHeight="1" x14ac:dyDescent="0.25">
      <c r="A21" s="218" t="s">
        <v>37</v>
      </c>
      <c r="B21" s="218"/>
      <c r="D21" s="13" t="s">
        <v>38</v>
      </c>
      <c r="E21" s="121" t="s">
        <v>11</v>
      </c>
      <c r="F21" s="159" t="s">
        <v>39</v>
      </c>
      <c r="G21" s="57" t="s">
        <v>11</v>
      </c>
      <c r="H21" s="56" t="s">
        <v>9</v>
      </c>
      <c r="K21" s="165" t="s">
        <v>752</v>
      </c>
      <c r="M21" s="5">
        <v>8</v>
      </c>
      <c r="N21" s="84">
        <v>13</v>
      </c>
      <c r="O21" s="5">
        <v>17</v>
      </c>
      <c r="P21" s="5">
        <v>18</v>
      </c>
      <c r="Q21" s="5">
        <v>21</v>
      </c>
      <c r="R21" s="5">
        <v>25</v>
      </c>
      <c r="S21" s="5">
        <v>27</v>
      </c>
      <c r="T21" s="5">
        <v>33</v>
      </c>
      <c r="U21" s="5">
        <v>47</v>
      </c>
      <c r="AD21" s="47"/>
    </row>
    <row r="22" spans="1:30" s="1" customFormat="1" ht="15" customHeight="1" x14ac:dyDescent="0.25">
      <c r="A22" s="218" t="s">
        <v>40</v>
      </c>
      <c r="B22" s="218"/>
      <c r="C22" s="2"/>
      <c r="D22" s="15" t="s">
        <v>41</v>
      </c>
      <c r="E22" s="121" t="s">
        <v>11</v>
      </c>
      <c r="F22" s="159" t="s">
        <v>42</v>
      </c>
      <c r="G22" s="57" t="s">
        <v>11</v>
      </c>
      <c r="H22" s="56" t="s">
        <v>9</v>
      </c>
      <c r="I22" s="2"/>
      <c r="J22" s="2"/>
      <c r="K22" s="20"/>
      <c r="L22" s="2"/>
      <c r="M22" s="140">
        <v>1.6</v>
      </c>
      <c r="N22" s="142">
        <v>1.6</v>
      </c>
      <c r="O22" s="140">
        <v>1</v>
      </c>
      <c r="P22" s="140">
        <v>1.6</v>
      </c>
      <c r="Q22" s="140">
        <v>1</v>
      </c>
      <c r="R22" s="140">
        <v>1</v>
      </c>
      <c r="S22" s="140">
        <v>1.6</v>
      </c>
      <c r="T22" s="140">
        <v>1</v>
      </c>
      <c r="U22" s="140">
        <v>1</v>
      </c>
      <c r="AD22" s="47"/>
    </row>
    <row r="23" spans="1:30" s="1" customFormat="1" ht="15" customHeight="1" x14ac:dyDescent="0.25">
      <c r="A23" s="218" t="s">
        <v>43</v>
      </c>
      <c r="B23" s="218"/>
      <c r="C23" s="2"/>
      <c r="D23" s="15" t="s">
        <v>44</v>
      </c>
      <c r="E23" s="121" t="s">
        <v>11</v>
      </c>
      <c r="F23" s="158" t="s">
        <v>16</v>
      </c>
      <c r="G23" s="5" t="s">
        <v>9</v>
      </c>
      <c r="H23" s="56" t="s">
        <v>9</v>
      </c>
      <c r="I23" s="2"/>
      <c r="J23" s="2"/>
      <c r="K23" s="5"/>
      <c r="L23" s="2"/>
      <c r="M23" s="7"/>
      <c r="N23" s="127"/>
      <c r="O23" s="128"/>
      <c r="P23" s="128"/>
      <c r="Q23" s="128"/>
      <c r="R23" s="128"/>
      <c r="S23" s="128"/>
      <c r="T23" s="128"/>
      <c r="U23" s="128"/>
      <c r="AD23" s="47"/>
    </row>
    <row r="24" spans="1:30" s="1" customFormat="1" ht="15" customHeight="1" x14ac:dyDescent="0.25">
      <c r="A24" s="218" t="s">
        <v>45</v>
      </c>
      <c r="B24" s="218"/>
      <c r="C24" s="2"/>
      <c r="D24" s="40" t="s">
        <v>46</v>
      </c>
      <c r="E24" s="121" t="s">
        <v>11</v>
      </c>
      <c r="F24" s="158" t="s">
        <v>16</v>
      </c>
      <c r="G24" s="5" t="s">
        <v>9</v>
      </c>
      <c r="H24" s="92" t="s">
        <v>9</v>
      </c>
      <c r="I24" s="2"/>
      <c r="J24" s="2"/>
      <c r="K24" s="5"/>
      <c r="L24" s="2"/>
      <c r="M24" s="7"/>
      <c r="N24" s="127"/>
      <c r="O24" s="128"/>
      <c r="P24" s="128"/>
      <c r="Q24" s="128"/>
      <c r="R24" s="128"/>
      <c r="S24" s="128"/>
      <c r="T24" s="128"/>
      <c r="U24" s="128"/>
      <c r="AD24" s="47"/>
    </row>
    <row r="25" spans="1:30" s="1" customFormat="1" ht="15" customHeight="1" x14ac:dyDescent="0.25">
      <c r="A25" s="218" t="s">
        <v>47</v>
      </c>
      <c r="B25" s="218"/>
      <c r="C25" s="2"/>
      <c r="D25" s="87" t="s">
        <v>48</v>
      </c>
      <c r="E25" s="121" t="s">
        <v>11</v>
      </c>
      <c r="F25" s="158" t="s">
        <v>16</v>
      </c>
      <c r="G25" s="5" t="s">
        <v>9</v>
      </c>
      <c r="H25" s="56" t="s">
        <v>9</v>
      </c>
      <c r="I25" s="2"/>
      <c r="J25" s="2"/>
      <c r="K25" s="5"/>
      <c r="L25" s="2"/>
      <c r="M25" s="5">
        <v>20</v>
      </c>
      <c r="N25" s="84"/>
      <c r="O25" s="5"/>
      <c r="P25" s="5"/>
      <c r="Q25" s="5"/>
      <c r="R25" s="5"/>
      <c r="S25" s="5"/>
      <c r="T25" s="5"/>
      <c r="U25" s="5"/>
      <c r="AD25" s="47"/>
    </row>
    <row r="26" spans="1:30" s="1" customFormat="1" ht="15" customHeight="1" x14ac:dyDescent="0.25">
      <c r="A26" s="218" t="s">
        <v>49</v>
      </c>
      <c r="B26" s="218"/>
      <c r="C26" s="2"/>
      <c r="D26" s="87" t="s">
        <v>50</v>
      </c>
      <c r="E26" s="121" t="s">
        <v>11</v>
      </c>
      <c r="F26" s="158"/>
      <c r="G26" s="57" t="s">
        <v>11</v>
      </c>
      <c r="H26" s="56" t="s">
        <v>9</v>
      </c>
      <c r="I26" s="2"/>
      <c r="J26" s="2"/>
      <c r="K26" s="5" t="s">
        <v>52</v>
      </c>
      <c r="L26" s="2"/>
      <c r="M26" s="5">
        <v>5</v>
      </c>
      <c r="N26" s="84"/>
      <c r="O26" s="48"/>
      <c r="P26" s="48"/>
      <c r="Q26" s="48"/>
      <c r="R26" s="48"/>
      <c r="S26" s="48"/>
      <c r="T26" s="48"/>
      <c r="U26" s="48"/>
      <c r="AD26" s="47"/>
    </row>
    <row r="27" spans="1:30" s="1" customFormat="1" ht="15" customHeight="1" x14ac:dyDescent="0.25">
      <c r="A27" s="200" t="s">
        <v>762</v>
      </c>
      <c r="B27" s="201"/>
      <c r="C27" s="2"/>
      <c r="D27" s="199" t="s">
        <v>50</v>
      </c>
      <c r="E27" s="14"/>
      <c r="F27" s="198" t="s">
        <v>51</v>
      </c>
      <c r="G27" s="57" t="s">
        <v>11</v>
      </c>
      <c r="H27" s="56" t="s">
        <v>9</v>
      </c>
      <c r="I27" s="2"/>
      <c r="J27" s="2"/>
      <c r="K27" s="5"/>
      <c r="L27" s="2"/>
      <c r="M27" s="5">
        <v>6</v>
      </c>
      <c r="N27" s="84"/>
      <c r="O27" s="48"/>
      <c r="P27" s="48"/>
      <c r="Q27" s="48"/>
      <c r="R27" s="48"/>
      <c r="S27" s="48"/>
      <c r="T27" s="48"/>
      <c r="U27" s="48"/>
      <c r="AD27" s="47"/>
    </row>
    <row r="28" spans="1:30" s="1" customFormat="1" ht="15" customHeight="1" x14ac:dyDescent="0.25">
      <c r="A28" s="218" t="s">
        <v>53</v>
      </c>
      <c r="B28" s="218"/>
      <c r="C28" s="2"/>
      <c r="D28" s="87" t="s">
        <v>50</v>
      </c>
      <c r="E28" s="121" t="s">
        <v>11</v>
      </c>
      <c r="F28" s="158" t="s">
        <v>16</v>
      </c>
      <c r="G28" s="5" t="s">
        <v>9</v>
      </c>
      <c r="H28" s="56" t="s">
        <v>9</v>
      </c>
      <c r="I28" s="2"/>
      <c r="J28" s="2"/>
      <c r="K28" s="5"/>
      <c r="L28" s="2"/>
      <c r="M28" s="5"/>
      <c r="N28" s="84"/>
      <c r="O28" s="48"/>
      <c r="P28" s="48"/>
      <c r="Q28" s="48"/>
      <c r="R28" s="48"/>
      <c r="S28" s="48"/>
      <c r="T28" s="48"/>
      <c r="U28" s="48"/>
      <c r="AD28" s="47"/>
    </row>
    <row r="29" spans="1:30" s="1" customFormat="1" ht="15" customHeight="1" x14ac:dyDescent="0.25">
      <c r="A29" s="218" t="s">
        <v>54</v>
      </c>
      <c r="B29" s="218"/>
      <c r="C29" s="2"/>
      <c r="D29" s="87"/>
      <c r="E29" s="121" t="s">
        <v>11</v>
      </c>
      <c r="F29" s="162" t="s">
        <v>31</v>
      </c>
      <c r="G29" s="57" t="s">
        <v>11</v>
      </c>
      <c r="H29" s="56" t="s">
        <v>9</v>
      </c>
      <c r="I29" s="2"/>
      <c r="J29" s="2"/>
      <c r="K29" s="31"/>
      <c r="L29" s="2"/>
      <c r="M29" s="143" t="s">
        <v>55</v>
      </c>
      <c r="N29" s="145" t="s">
        <v>55</v>
      </c>
      <c r="O29" s="143" t="s">
        <v>55</v>
      </c>
      <c r="P29" s="143" t="s">
        <v>56</v>
      </c>
      <c r="Q29" s="143" t="s">
        <v>55</v>
      </c>
      <c r="R29" s="143" t="s">
        <v>56</v>
      </c>
      <c r="S29" s="143" t="s">
        <v>56</v>
      </c>
      <c r="T29" s="143" t="s">
        <v>56</v>
      </c>
      <c r="U29" s="143" t="s">
        <v>56</v>
      </c>
      <c r="AD29" s="47"/>
    </row>
    <row r="30" spans="1:30" s="1" customFormat="1" ht="15" customHeight="1" x14ac:dyDescent="0.25">
      <c r="A30" s="218" t="s">
        <v>57</v>
      </c>
      <c r="B30" s="218"/>
      <c r="C30" s="2"/>
      <c r="D30" s="87" t="s">
        <v>25</v>
      </c>
      <c r="E30" s="121" t="s">
        <v>11</v>
      </c>
      <c r="F30" s="164" t="s">
        <v>16</v>
      </c>
      <c r="G30" s="5" t="s">
        <v>9</v>
      </c>
      <c r="H30" s="56" t="s">
        <v>9</v>
      </c>
      <c r="I30" s="2"/>
      <c r="J30" s="2"/>
      <c r="K30" s="32"/>
      <c r="L30" s="2"/>
      <c r="M30" s="147" t="s">
        <v>16</v>
      </c>
      <c r="N30" s="147" t="s">
        <v>16</v>
      </c>
      <c r="O30" s="143" t="s">
        <v>16</v>
      </c>
      <c r="P30" s="143" t="s">
        <v>16</v>
      </c>
      <c r="Q30" s="143" t="s">
        <v>16</v>
      </c>
      <c r="R30" s="143" t="s">
        <v>16</v>
      </c>
      <c r="S30" s="143" t="s">
        <v>16</v>
      </c>
      <c r="T30" s="143" t="s">
        <v>16</v>
      </c>
      <c r="U30" s="143" t="s">
        <v>16</v>
      </c>
      <c r="AD30" s="47"/>
    </row>
    <row r="31" spans="1:30" s="1" customFormat="1" ht="15" customHeight="1" x14ac:dyDescent="0.25">
      <c r="A31" s="230"/>
      <c r="B31" s="230"/>
      <c r="C31" s="2"/>
      <c r="D31" s="16"/>
      <c r="E31" s="16"/>
      <c r="F31" s="2"/>
      <c r="G31" s="2"/>
      <c r="H31" s="16"/>
      <c r="I31" s="2"/>
      <c r="J31" s="2"/>
      <c r="K31" s="2"/>
      <c r="L31" s="2"/>
      <c r="M31" s="67"/>
      <c r="N31" s="69"/>
      <c r="AD31" s="47"/>
    </row>
    <row r="32" spans="1:30" s="1" customFormat="1" ht="15" customHeight="1" x14ac:dyDescent="0.25">
      <c r="A32" s="224" t="s">
        <v>58</v>
      </c>
      <c r="B32" s="224"/>
      <c r="C32" s="2"/>
      <c r="D32" s="16"/>
      <c r="E32" s="16"/>
      <c r="F32" s="2"/>
      <c r="G32" s="2"/>
      <c r="H32" s="16"/>
      <c r="I32" s="2"/>
      <c r="J32" s="2"/>
      <c r="K32" s="2"/>
      <c r="L32" s="2"/>
      <c r="M32" s="68"/>
      <c r="N32" s="70"/>
      <c r="AD32" s="47"/>
    </row>
    <row r="33" spans="1:30" s="1" customFormat="1" ht="15" customHeight="1" x14ac:dyDescent="0.25">
      <c r="A33" s="218" t="s">
        <v>59</v>
      </c>
      <c r="B33" s="218"/>
      <c r="C33" s="2"/>
      <c r="D33" s="87"/>
      <c r="E33" s="121" t="s">
        <v>11</v>
      </c>
      <c r="F33" s="5" t="s">
        <v>16</v>
      </c>
      <c r="G33" s="5" t="s">
        <v>9</v>
      </c>
      <c r="H33" s="56"/>
      <c r="I33" s="2"/>
      <c r="J33" s="2"/>
      <c r="K33" s="32"/>
      <c r="L33" s="2"/>
      <c r="M33" s="146" t="s">
        <v>60</v>
      </c>
      <c r="N33" s="146" t="s">
        <v>60</v>
      </c>
      <c r="O33" s="143" t="s">
        <v>60</v>
      </c>
      <c r="P33" s="143" t="s">
        <v>61</v>
      </c>
      <c r="Q33" s="143" t="s">
        <v>61</v>
      </c>
      <c r="R33" s="143" t="s">
        <v>60</v>
      </c>
      <c r="S33" s="143" t="s">
        <v>60</v>
      </c>
      <c r="T33" s="143" t="s">
        <v>60</v>
      </c>
      <c r="U33" s="143" t="s">
        <v>60</v>
      </c>
      <c r="AD33" s="47"/>
    </row>
    <row r="34" spans="1:30" s="1" customFormat="1" ht="15" customHeight="1" x14ac:dyDescent="0.25">
      <c r="A34" s="218" t="s">
        <v>62</v>
      </c>
      <c r="B34" s="218"/>
      <c r="C34" s="2"/>
      <c r="D34" s="87" t="s">
        <v>63</v>
      </c>
      <c r="E34" s="121" t="s">
        <v>11</v>
      </c>
      <c r="F34" s="99" t="s">
        <v>64</v>
      </c>
      <c r="G34" s="57" t="s">
        <v>11</v>
      </c>
      <c r="H34" s="56" t="s">
        <v>65</v>
      </c>
      <c r="I34" s="2"/>
      <c r="J34" s="2"/>
      <c r="K34" s="32" t="s">
        <v>66</v>
      </c>
      <c r="L34" s="2"/>
      <c r="M34" s="172">
        <f>IF(M33="Deep",1100,"non std. Cabin type")</f>
        <v>1100</v>
      </c>
      <c r="N34" s="173">
        <f>IF(N33="Deep",1100,IF(N33="Wide",1600,"Wrong shape"))</f>
        <v>1100</v>
      </c>
      <c r="O34" s="172">
        <f>IF(O33="Deep",1200,IF(O33="Wide",2000,"Wrong shape"))</f>
        <v>1200</v>
      </c>
      <c r="P34" s="172">
        <f>IF(P33="Wide",2000,"non std. Cabin type")</f>
        <v>2000</v>
      </c>
      <c r="Q34" s="172">
        <f>IF(Q33="Deep",1400,IF(Q33="Wide",2100,"Wrong shape"))</f>
        <v>2100</v>
      </c>
      <c r="R34" s="172" t="str">
        <f>IF(R33="Wide",2100,"Wrong shape")</f>
        <v>Wrong shape</v>
      </c>
      <c r="S34" s="172">
        <f>IF(S33="Deep",1500,"Wrong shape")</f>
        <v>1500</v>
      </c>
      <c r="T34" s="172">
        <f>IF(T33="Deep",1800,"Wrong shape")</f>
        <v>1800</v>
      </c>
      <c r="U34" s="172">
        <f>IF(U33="Deep",2100,"Wrong shape")</f>
        <v>2100</v>
      </c>
      <c r="AD34" s="47"/>
    </row>
    <row r="35" spans="1:30" s="1" customFormat="1" ht="15" customHeight="1" x14ac:dyDescent="0.25">
      <c r="A35" s="218" t="s">
        <v>67</v>
      </c>
      <c r="B35" s="218"/>
      <c r="C35" s="2"/>
      <c r="D35" s="87" t="s">
        <v>63</v>
      </c>
      <c r="E35" s="121" t="s">
        <v>11</v>
      </c>
      <c r="F35" s="99" t="s">
        <v>68</v>
      </c>
      <c r="G35" s="57" t="s">
        <v>11</v>
      </c>
      <c r="H35" s="56" t="s">
        <v>69</v>
      </c>
      <c r="I35" s="2"/>
      <c r="J35" s="2"/>
      <c r="K35" s="32" t="s">
        <v>66</v>
      </c>
      <c r="L35" s="2"/>
      <c r="M35" s="172">
        <f>IF(M34=1100,1400, "non std. Cabin type")</f>
        <v>1400</v>
      </c>
      <c r="N35" s="173">
        <f>IF(N34=1100,2100,IF(N34=1600,1400,"non standard width"))</f>
        <v>2100</v>
      </c>
      <c r="O35" s="172">
        <f>IF(O34=2000,1500,IF(O34=1200,2300,"non std. Cabin type"))</f>
        <v>2300</v>
      </c>
      <c r="P35" s="172">
        <f>IF(P34=2000, 1500,"non std. Cabin type")</f>
        <v>1500</v>
      </c>
      <c r="Q35" s="172">
        <f>IF(Q34=1400,2400, IF(Q34=2100,1600,"non std. Cabin type"))</f>
        <v>1600</v>
      </c>
      <c r="R35" s="172" t="str">
        <f>IF(R34=2100,1800,"non std. Cabin type")</f>
        <v>non std. Cabin type</v>
      </c>
      <c r="S35" s="172">
        <f>IF(S34=1500,2700,"non std. Cabin type")</f>
        <v>2700</v>
      </c>
      <c r="T35" s="172">
        <f>IF(T34=1800,2700,"non std. Cabin type")</f>
        <v>2700</v>
      </c>
      <c r="U35" s="172">
        <f>IF(U34=2100,3000,"non std. Cabin type")</f>
        <v>3000</v>
      </c>
      <c r="AD35" s="47"/>
    </row>
    <row r="36" spans="1:30" x14ac:dyDescent="0.25">
      <c r="A36" s="220" t="s">
        <v>70</v>
      </c>
      <c r="B36" s="220"/>
      <c r="C36" s="10"/>
      <c r="D36" s="177" t="s">
        <v>63</v>
      </c>
      <c r="E36" s="178" t="s">
        <v>8</v>
      </c>
      <c r="F36" s="151" t="s">
        <v>9</v>
      </c>
      <c r="G36" s="57" t="s">
        <v>11</v>
      </c>
      <c r="H36" s="161" t="s">
        <v>9</v>
      </c>
      <c r="I36" s="129"/>
      <c r="J36" s="129"/>
      <c r="K36" s="150" t="s">
        <v>71</v>
      </c>
      <c r="L36" s="129"/>
      <c r="M36" s="10">
        <v>0</v>
      </c>
      <c r="N36" s="10">
        <v>0</v>
      </c>
      <c r="O36" s="10">
        <v>0</v>
      </c>
      <c r="P36" s="10">
        <v>10</v>
      </c>
      <c r="Q36" s="10">
        <v>0</v>
      </c>
      <c r="R36" s="10">
        <v>10</v>
      </c>
      <c r="S36" s="10">
        <v>10</v>
      </c>
      <c r="T36" s="10">
        <v>10</v>
      </c>
      <c r="U36" s="10">
        <v>10</v>
      </c>
    </row>
    <row r="37" spans="1:30" s="1" customFormat="1" ht="15" customHeight="1" x14ac:dyDescent="0.25">
      <c r="A37" s="218" t="s">
        <v>72</v>
      </c>
      <c r="B37" s="218"/>
      <c r="C37" s="2"/>
      <c r="D37" s="87" t="s">
        <v>63</v>
      </c>
      <c r="E37" s="121" t="s">
        <v>11</v>
      </c>
      <c r="F37" s="48" t="s">
        <v>16</v>
      </c>
      <c r="G37" s="57" t="s">
        <v>11</v>
      </c>
      <c r="H37" s="56" t="s">
        <v>9</v>
      </c>
      <c r="I37" s="2"/>
      <c r="J37" s="2"/>
      <c r="K37" s="185" t="s">
        <v>749</v>
      </c>
      <c r="L37" s="2"/>
      <c r="M37" s="172">
        <v>2200</v>
      </c>
      <c r="N37" s="173">
        <v>2200</v>
      </c>
      <c r="O37" s="172">
        <v>2300</v>
      </c>
      <c r="P37" s="172">
        <v>2300</v>
      </c>
      <c r="Q37" s="172">
        <f>IF(Q34=2100,2400,IF(Q34=1400,2300,"non std.CW"))</f>
        <v>2400</v>
      </c>
      <c r="R37" s="172">
        <v>2400</v>
      </c>
      <c r="S37" s="172">
        <v>2300</v>
      </c>
      <c r="T37" s="172">
        <v>2300</v>
      </c>
      <c r="U37" s="172">
        <v>2400</v>
      </c>
      <c r="AD37" s="47"/>
    </row>
    <row r="38" spans="1:30" s="1" customFormat="1" ht="15" customHeight="1" x14ac:dyDescent="0.25">
      <c r="A38" s="218" t="s">
        <v>73</v>
      </c>
      <c r="B38" s="218"/>
      <c r="C38" s="2"/>
      <c r="D38" s="87" t="s">
        <v>63</v>
      </c>
      <c r="E38" s="121" t="s">
        <v>11</v>
      </c>
      <c r="F38" s="99" t="s">
        <v>74</v>
      </c>
      <c r="G38" s="57" t="s">
        <v>11</v>
      </c>
      <c r="H38" s="56" t="s">
        <v>9</v>
      </c>
      <c r="I38" s="2"/>
      <c r="J38" s="2"/>
      <c r="K38" s="5" t="s">
        <v>66</v>
      </c>
      <c r="L38" s="2"/>
      <c r="M38" s="5">
        <f t="shared" ref="M38:U38" si="1">M37+100</f>
        <v>2300</v>
      </c>
      <c r="N38" s="5">
        <f t="shared" si="1"/>
        <v>2300</v>
      </c>
      <c r="O38" s="5">
        <f t="shared" si="1"/>
        <v>2400</v>
      </c>
      <c r="P38" s="5">
        <f t="shared" si="1"/>
        <v>2400</v>
      </c>
      <c r="Q38" s="5">
        <f t="shared" si="1"/>
        <v>2500</v>
      </c>
      <c r="R38" s="5">
        <f t="shared" si="1"/>
        <v>2500</v>
      </c>
      <c r="S38" s="5">
        <f t="shared" si="1"/>
        <v>2400</v>
      </c>
      <c r="T38" s="5">
        <v>2500</v>
      </c>
      <c r="U38" s="5">
        <f t="shared" si="1"/>
        <v>2500</v>
      </c>
      <c r="AD38" s="47"/>
    </row>
    <row r="39" spans="1:30" s="1" customFormat="1" ht="15" customHeight="1" x14ac:dyDescent="0.25">
      <c r="A39" s="221" t="s">
        <v>75</v>
      </c>
      <c r="B39" s="221"/>
      <c r="C39" s="2"/>
      <c r="D39" s="87" t="s">
        <v>63</v>
      </c>
      <c r="E39" s="14"/>
      <c r="F39" s="95"/>
      <c r="G39" s="95"/>
      <c r="H39" s="56"/>
      <c r="I39" s="2"/>
      <c r="J39" s="2"/>
      <c r="K39" s="5" t="s">
        <v>76</v>
      </c>
      <c r="L39" s="135" t="s">
        <v>77</v>
      </c>
      <c r="M39" s="5">
        <v>30</v>
      </c>
      <c r="N39" s="5">
        <v>30</v>
      </c>
      <c r="O39" s="5">
        <v>30</v>
      </c>
      <c r="P39" s="5">
        <v>30</v>
      </c>
      <c r="Q39" s="5">
        <v>30</v>
      </c>
      <c r="R39" s="5">
        <v>30</v>
      </c>
      <c r="S39" s="5">
        <v>30</v>
      </c>
      <c r="T39" s="5">
        <v>30</v>
      </c>
      <c r="U39" s="5">
        <v>30</v>
      </c>
      <c r="AD39" s="47"/>
    </row>
    <row r="40" spans="1:30" s="1" customFormat="1" ht="15" customHeight="1" x14ac:dyDescent="0.25">
      <c r="A40" s="221" t="s">
        <v>78</v>
      </c>
      <c r="B40" s="221"/>
      <c r="C40" s="2"/>
      <c r="D40" s="87"/>
      <c r="E40" s="14"/>
      <c r="F40" s="95"/>
      <c r="G40" s="95"/>
      <c r="H40" s="56"/>
      <c r="I40" s="2"/>
      <c r="J40" s="2"/>
      <c r="K40" s="5"/>
      <c r="L40" s="135" t="s">
        <v>77</v>
      </c>
      <c r="M40" s="5"/>
      <c r="N40" s="5"/>
      <c r="O40" s="5"/>
      <c r="P40" s="5"/>
      <c r="Q40" s="5"/>
      <c r="R40" s="5"/>
      <c r="S40" s="5"/>
      <c r="T40" s="5"/>
      <c r="U40" s="5"/>
      <c r="AD40" s="47"/>
    </row>
    <row r="41" spans="1:30" s="1" customFormat="1" ht="15" customHeight="1" x14ac:dyDescent="0.25">
      <c r="A41" s="218" t="s">
        <v>79</v>
      </c>
      <c r="B41" s="218"/>
      <c r="C41" s="2"/>
      <c r="D41" s="13" t="s">
        <v>63</v>
      </c>
      <c r="E41" s="121" t="s">
        <v>11</v>
      </c>
      <c r="F41" s="62" t="s">
        <v>31</v>
      </c>
      <c r="G41" s="57" t="s">
        <v>11</v>
      </c>
      <c r="H41" s="56" t="s">
        <v>9</v>
      </c>
      <c r="I41" s="2"/>
      <c r="J41" s="2"/>
      <c r="K41" s="5"/>
      <c r="L41" s="2"/>
      <c r="M41" s="172">
        <v>900</v>
      </c>
      <c r="N41" s="173">
        <f>IF(N34=1100,900,IF(N34=1600,1000,"non standard Car width"))</f>
        <v>900</v>
      </c>
      <c r="O41" s="172">
        <v>1100</v>
      </c>
      <c r="P41" s="172">
        <v>1100</v>
      </c>
      <c r="Q41" s="172">
        <f>IF(Q34=1400, 1300, IF(Q34=2100, 1200,"non std.CW"))</f>
        <v>1200</v>
      </c>
      <c r="R41" s="172">
        <v>1200</v>
      </c>
      <c r="S41" s="172">
        <v>1300</v>
      </c>
      <c r="T41" s="172">
        <v>1500</v>
      </c>
      <c r="U41" s="172">
        <v>1800</v>
      </c>
      <c r="AD41" s="47"/>
    </row>
    <row r="42" spans="1:30" s="1" customFormat="1" ht="15" customHeight="1" x14ac:dyDescent="0.25">
      <c r="A42" s="218" t="s">
        <v>80</v>
      </c>
      <c r="B42" s="218"/>
      <c r="C42" s="2"/>
      <c r="D42" s="15" t="s">
        <v>63</v>
      </c>
      <c r="E42" s="121" t="s">
        <v>11</v>
      </c>
      <c r="F42" s="57" t="s">
        <v>81</v>
      </c>
      <c r="G42" s="57" t="s">
        <v>11</v>
      </c>
      <c r="H42" s="56" t="s">
        <v>9</v>
      </c>
      <c r="I42" s="2"/>
      <c r="J42" s="2"/>
      <c r="K42" s="5"/>
      <c r="L42" s="2"/>
      <c r="M42" s="5">
        <f t="shared" ref="M42:U42" si="2">M41+2*140</f>
        <v>1180</v>
      </c>
      <c r="N42" s="5">
        <f t="shared" si="2"/>
        <v>1180</v>
      </c>
      <c r="O42" s="5">
        <f t="shared" si="2"/>
        <v>1380</v>
      </c>
      <c r="P42" s="5">
        <f t="shared" si="2"/>
        <v>1380</v>
      </c>
      <c r="Q42" s="5">
        <f t="shared" si="2"/>
        <v>1480</v>
      </c>
      <c r="R42" s="5">
        <f t="shared" si="2"/>
        <v>1480</v>
      </c>
      <c r="S42" s="5">
        <f t="shared" si="2"/>
        <v>1580</v>
      </c>
      <c r="T42" s="5">
        <f t="shared" si="2"/>
        <v>1780</v>
      </c>
      <c r="U42" s="5">
        <f t="shared" si="2"/>
        <v>2080</v>
      </c>
      <c r="AD42" s="47"/>
    </row>
    <row r="43" spans="1:30" s="1" customFormat="1" ht="15" customHeight="1" x14ac:dyDescent="0.25">
      <c r="A43" s="218" t="s">
        <v>82</v>
      </c>
      <c r="B43" s="218"/>
      <c r="C43" s="2"/>
      <c r="D43" s="15" t="s">
        <v>63</v>
      </c>
      <c r="E43" s="121" t="s">
        <v>11</v>
      </c>
      <c r="F43" s="62" t="s">
        <v>31</v>
      </c>
      <c r="G43" s="57" t="s">
        <v>11</v>
      </c>
      <c r="H43" s="56" t="s">
        <v>9</v>
      </c>
      <c r="I43" s="2"/>
      <c r="J43" s="2"/>
      <c r="K43" s="79" t="s">
        <v>83</v>
      </c>
      <c r="L43" s="2"/>
      <c r="M43" s="5">
        <f t="shared" ref="M43:T43" si="3">M37-100</f>
        <v>2100</v>
      </c>
      <c r="N43" s="5">
        <f t="shared" si="3"/>
        <v>2100</v>
      </c>
      <c r="O43" s="5">
        <f t="shared" si="3"/>
        <v>2200</v>
      </c>
      <c r="P43" s="5">
        <f t="shared" si="3"/>
        <v>2200</v>
      </c>
      <c r="Q43" s="5">
        <f t="shared" si="3"/>
        <v>2300</v>
      </c>
      <c r="R43" s="5">
        <f t="shared" si="3"/>
        <v>2300</v>
      </c>
      <c r="S43" s="5">
        <f t="shared" si="3"/>
        <v>2200</v>
      </c>
      <c r="T43" s="5">
        <f t="shared" si="3"/>
        <v>2200</v>
      </c>
      <c r="U43" s="5">
        <v>2300</v>
      </c>
      <c r="AD43" s="47"/>
    </row>
    <row r="44" spans="1:30" s="1" customFormat="1" ht="15" customHeight="1" x14ac:dyDescent="0.25">
      <c r="A44" s="218" t="s">
        <v>84</v>
      </c>
      <c r="B44" s="218"/>
      <c r="C44" s="2"/>
      <c r="D44" s="15" t="s">
        <v>63</v>
      </c>
      <c r="E44" s="121" t="s">
        <v>11</v>
      </c>
      <c r="F44" s="62" t="s">
        <v>31</v>
      </c>
      <c r="G44" s="57" t="s">
        <v>11</v>
      </c>
      <c r="H44" s="56" t="s">
        <v>9</v>
      </c>
      <c r="I44" s="2"/>
      <c r="J44" s="2"/>
      <c r="K44" s="5"/>
      <c r="L44" s="2"/>
      <c r="M44" s="5">
        <f t="shared" ref="M44:U44" si="4">M43+140</f>
        <v>2240</v>
      </c>
      <c r="N44" s="5">
        <f t="shared" si="4"/>
        <v>2240</v>
      </c>
      <c r="O44" s="5">
        <f t="shared" si="4"/>
        <v>2340</v>
      </c>
      <c r="P44" s="5">
        <f t="shared" si="4"/>
        <v>2340</v>
      </c>
      <c r="Q44" s="5">
        <f t="shared" si="4"/>
        <v>2440</v>
      </c>
      <c r="R44" s="5">
        <f t="shared" si="4"/>
        <v>2440</v>
      </c>
      <c r="S44" s="5">
        <f t="shared" si="4"/>
        <v>2340</v>
      </c>
      <c r="T44" s="5">
        <f t="shared" si="4"/>
        <v>2340</v>
      </c>
      <c r="U44" s="5">
        <f t="shared" si="4"/>
        <v>2440</v>
      </c>
      <c r="AD44" s="47"/>
    </row>
    <row r="45" spans="1:30" s="1" customFormat="1" ht="15" customHeight="1" x14ac:dyDescent="0.25">
      <c r="A45" s="218" t="s">
        <v>85</v>
      </c>
      <c r="B45" s="218"/>
      <c r="C45" s="2"/>
      <c r="D45" s="15" t="s">
        <v>9</v>
      </c>
      <c r="E45" s="121" t="s">
        <v>11</v>
      </c>
      <c r="F45" s="62" t="s">
        <v>31</v>
      </c>
      <c r="G45" s="57" t="s">
        <v>11</v>
      </c>
      <c r="H45" s="56" t="s">
        <v>9</v>
      </c>
      <c r="I45" s="2"/>
      <c r="J45" s="2"/>
      <c r="K45" s="5"/>
      <c r="L45" s="2"/>
      <c r="M45" s="82" t="str">
        <f>IF(M19="CWT-Left","2L",IF(M19="CWT-Right","2R","Non std. CTW")
)</f>
        <v>2L</v>
      </c>
      <c r="N45" s="82" t="str">
        <f>IF(N34=1600,
"2C",
IF(N34=1100,
IF(N19="CWT-Left","2L",
IF(N19="CWT-Right","2R","wrong CWT")
)))</f>
        <v>2L</v>
      </c>
      <c r="O45" s="82" t="str">
        <f>IF(O34=2000,
"2C",
IF(O34=1200,
IF(O19="CWT-Left","2L",
IF(O19="CWT-Right","2R","wrong CWT")
)))</f>
        <v>2R</v>
      </c>
      <c r="P45" s="82" t="s">
        <v>86</v>
      </c>
      <c r="Q45" s="82" t="str">
        <f>IF(Q34=1400,"4C",IF(Q34=2100,"2C","non std. SW"))</f>
        <v>2C</v>
      </c>
      <c r="R45" s="5" t="s">
        <v>86</v>
      </c>
      <c r="S45" s="5" t="s">
        <v>87</v>
      </c>
      <c r="T45" s="5" t="s">
        <v>87</v>
      </c>
      <c r="U45" s="5" t="s">
        <v>87</v>
      </c>
      <c r="AD45" s="47"/>
    </row>
    <row r="46" spans="1:30" s="1" customFormat="1" ht="15" customHeight="1" x14ac:dyDescent="0.25">
      <c r="A46" s="218" t="s">
        <v>88</v>
      </c>
      <c r="B46" s="218"/>
      <c r="C46" s="2"/>
      <c r="D46" s="15"/>
      <c r="E46" s="14" t="s">
        <v>11</v>
      </c>
      <c r="F46" s="62" t="s">
        <v>31</v>
      </c>
      <c r="G46" s="57" t="s">
        <v>11</v>
      </c>
      <c r="H46" s="56"/>
      <c r="I46" s="2"/>
      <c r="J46" s="2"/>
      <c r="K46" s="5" t="s">
        <v>754</v>
      </c>
      <c r="L46" s="2"/>
      <c r="M46" s="5" t="s">
        <v>89</v>
      </c>
      <c r="N46" s="5" t="s">
        <v>89</v>
      </c>
      <c r="O46" s="5" t="s">
        <v>89</v>
      </c>
      <c r="P46" s="5" t="s">
        <v>89</v>
      </c>
      <c r="Q46" s="5" t="s">
        <v>89</v>
      </c>
      <c r="R46" s="5" t="s">
        <v>89</v>
      </c>
      <c r="S46" s="5" t="s">
        <v>89</v>
      </c>
      <c r="T46" s="5" t="s">
        <v>89</v>
      </c>
      <c r="U46" s="5" t="s">
        <v>89</v>
      </c>
      <c r="AD46" s="47"/>
    </row>
    <row r="47" spans="1:30" s="1" customFormat="1" ht="15" customHeight="1" x14ac:dyDescent="0.25">
      <c r="A47" s="218" t="s">
        <v>90</v>
      </c>
      <c r="B47" s="218"/>
      <c r="C47" s="2"/>
      <c r="D47" s="15" t="s">
        <v>9</v>
      </c>
      <c r="E47" s="121" t="s">
        <v>11</v>
      </c>
      <c r="F47" s="5" t="s">
        <v>16</v>
      </c>
      <c r="G47" s="5" t="s">
        <v>9</v>
      </c>
      <c r="H47" s="56" t="s">
        <v>9</v>
      </c>
      <c r="I47" s="2"/>
      <c r="J47" s="2"/>
      <c r="K47" s="5"/>
      <c r="L47" s="2"/>
      <c r="M47" s="5" t="s">
        <v>91</v>
      </c>
      <c r="N47" s="5" t="s">
        <v>91</v>
      </c>
      <c r="O47" s="5" t="s">
        <v>91</v>
      </c>
      <c r="P47" s="5" t="s">
        <v>91</v>
      </c>
      <c r="Q47" s="5" t="s">
        <v>91</v>
      </c>
      <c r="R47" s="5" t="s">
        <v>91</v>
      </c>
      <c r="S47" s="5" t="s">
        <v>92</v>
      </c>
      <c r="T47" s="5" t="s">
        <v>92</v>
      </c>
      <c r="U47" s="5" t="s">
        <v>92</v>
      </c>
      <c r="AD47" s="47"/>
    </row>
    <row r="48" spans="1:30" s="1" customFormat="1" ht="15" customHeight="1" x14ac:dyDescent="0.25">
      <c r="A48" s="219" t="s">
        <v>93</v>
      </c>
      <c r="B48" s="219"/>
      <c r="C48" s="2"/>
      <c r="D48" s="15" t="s">
        <v>9</v>
      </c>
      <c r="E48" s="121" t="s">
        <v>11</v>
      </c>
      <c r="F48" s="62" t="s">
        <v>31</v>
      </c>
      <c r="G48" s="57" t="s">
        <v>11</v>
      </c>
      <c r="H48" s="36" t="s">
        <v>9</v>
      </c>
      <c r="I48" s="2"/>
      <c r="J48" s="2"/>
      <c r="K48" s="150" t="s">
        <v>746</v>
      </c>
      <c r="L48" s="2"/>
      <c r="M48" s="5" t="s">
        <v>94</v>
      </c>
      <c r="N48" s="5" t="s">
        <v>94</v>
      </c>
      <c r="O48" s="5" t="s">
        <v>95</v>
      </c>
      <c r="P48" s="5" t="s">
        <v>95</v>
      </c>
      <c r="Q48" s="5" t="s">
        <v>95</v>
      </c>
      <c r="R48" s="5" t="s">
        <v>96</v>
      </c>
      <c r="S48" s="5" t="s">
        <v>95</v>
      </c>
      <c r="T48" s="5" t="s">
        <v>95</v>
      </c>
      <c r="U48" s="5" t="s">
        <v>95</v>
      </c>
      <c r="AD48" s="47"/>
    </row>
    <row r="49" spans="1:30" s="1" customFormat="1" ht="15" customHeight="1" x14ac:dyDescent="0.25">
      <c r="A49" s="219" t="s">
        <v>97</v>
      </c>
      <c r="B49" s="219"/>
      <c r="C49" s="2"/>
      <c r="D49" s="15" t="s">
        <v>9</v>
      </c>
      <c r="E49" s="121" t="s">
        <v>11</v>
      </c>
      <c r="F49" s="62" t="s">
        <v>31</v>
      </c>
      <c r="G49" s="57" t="s">
        <v>11</v>
      </c>
      <c r="H49" s="36" t="s">
        <v>9</v>
      </c>
      <c r="I49" s="2"/>
      <c r="J49" s="2"/>
      <c r="K49" s="150" t="s">
        <v>746</v>
      </c>
      <c r="L49" s="2"/>
      <c r="M49" s="5" t="s">
        <v>98</v>
      </c>
      <c r="N49" s="5" t="s">
        <v>99</v>
      </c>
      <c r="O49" s="5" t="s">
        <v>98</v>
      </c>
      <c r="P49" s="5" t="s">
        <v>98</v>
      </c>
      <c r="Q49" s="5" t="s">
        <v>98</v>
      </c>
      <c r="R49" s="5" t="s">
        <v>98</v>
      </c>
      <c r="S49" s="5" t="s">
        <v>98</v>
      </c>
      <c r="T49" s="5" t="s">
        <v>98</v>
      </c>
      <c r="U49" s="5" t="s">
        <v>98</v>
      </c>
      <c r="AD49" s="47"/>
    </row>
    <row r="50" spans="1:30" s="1" customFormat="1" ht="15" customHeight="1" x14ac:dyDescent="0.25">
      <c r="A50" s="234" t="s">
        <v>100</v>
      </c>
      <c r="B50" s="234"/>
      <c r="C50" s="2"/>
      <c r="D50" s="15" t="s">
        <v>9</v>
      </c>
      <c r="E50" s="121" t="s">
        <v>11</v>
      </c>
      <c r="F50" s="62" t="s">
        <v>31</v>
      </c>
      <c r="G50" s="57" t="s">
        <v>11</v>
      </c>
      <c r="H50" s="36" t="s">
        <v>9</v>
      </c>
      <c r="I50" s="2"/>
      <c r="J50" s="2"/>
      <c r="K50" s="5"/>
      <c r="L50" s="2"/>
      <c r="M50" s="37" t="s">
        <v>101</v>
      </c>
      <c r="N50" s="37" t="s">
        <v>101</v>
      </c>
      <c r="O50" s="37" t="s">
        <v>101</v>
      </c>
      <c r="P50" s="37" t="s">
        <v>101</v>
      </c>
      <c r="Q50" s="37" t="s">
        <v>101</v>
      </c>
      <c r="R50" s="37" t="s">
        <v>101</v>
      </c>
      <c r="S50" s="37" t="s">
        <v>101</v>
      </c>
      <c r="T50" s="37" t="s">
        <v>101</v>
      </c>
      <c r="U50" s="37" t="s">
        <v>101</v>
      </c>
      <c r="AD50" s="47"/>
    </row>
    <row r="51" spans="1:30" s="1" customFormat="1" ht="15" customHeight="1" x14ac:dyDescent="0.25">
      <c r="A51" s="234" t="s">
        <v>102</v>
      </c>
      <c r="B51" s="234"/>
      <c r="C51" s="2"/>
      <c r="D51" s="15" t="s">
        <v>9</v>
      </c>
      <c r="E51" s="121" t="s">
        <v>11</v>
      </c>
      <c r="F51" s="62" t="s">
        <v>31</v>
      </c>
      <c r="G51" s="57" t="s">
        <v>11</v>
      </c>
      <c r="H51" s="36" t="s">
        <v>9</v>
      </c>
      <c r="I51" s="2"/>
      <c r="J51" s="2"/>
      <c r="K51" s="5"/>
      <c r="L51" s="2"/>
      <c r="M51" s="5"/>
      <c r="N51" s="136"/>
      <c r="O51" s="5"/>
      <c r="P51" s="5"/>
      <c r="Q51" s="5"/>
      <c r="R51" s="5"/>
      <c r="S51" s="5"/>
      <c r="T51" s="5"/>
      <c r="U51" s="5"/>
      <c r="AD51" s="47"/>
    </row>
    <row r="52" spans="1:30" s="1" customFormat="1" ht="15" customHeight="1" x14ac:dyDescent="0.25">
      <c r="A52" s="152" t="s">
        <v>103</v>
      </c>
      <c r="B52" s="126"/>
      <c r="C52" s="2"/>
      <c r="D52" s="15" t="s">
        <v>104</v>
      </c>
      <c r="E52" s="14"/>
      <c r="F52" s="5"/>
      <c r="G52" s="5"/>
      <c r="H52" s="16"/>
      <c r="I52" s="2"/>
      <c r="J52" s="2"/>
      <c r="K52" s="5"/>
      <c r="L52" s="135" t="s">
        <v>77</v>
      </c>
      <c r="M52" s="5"/>
      <c r="N52" s="136"/>
      <c r="O52" s="5"/>
      <c r="P52" s="5"/>
      <c r="Q52" s="5"/>
      <c r="R52" s="5"/>
      <c r="S52" s="5"/>
      <c r="T52" s="5"/>
      <c r="U52" s="5"/>
      <c r="AD52" s="47"/>
    </row>
    <row r="53" spans="1:30" s="1" customFormat="1" ht="15" customHeight="1" x14ac:dyDescent="0.25">
      <c r="A53" s="218" t="s">
        <v>105</v>
      </c>
      <c r="B53" s="218"/>
      <c r="C53" s="2"/>
      <c r="D53" s="15"/>
      <c r="E53" s="14" t="s">
        <v>11</v>
      </c>
      <c r="F53" s="62" t="s">
        <v>31</v>
      </c>
      <c r="G53" s="57" t="s">
        <v>11</v>
      </c>
      <c r="H53" s="56"/>
      <c r="I53" s="2"/>
      <c r="J53" s="2"/>
      <c r="K53" s="5"/>
      <c r="L53" s="2"/>
      <c r="M53" s="5" t="s">
        <v>106</v>
      </c>
      <c r="N53" s="5" t="s">
        <v>107</v>
      </c>
      <c r="O53" s="5" t="s">
        <v>107</v>
      </c>
      <c r="P53" s="5" t="s">
        <v>107</v>
      </c>
      <c r="Q53" s="5" t="s">
        <v>107</v>
      </c>
      <c r="R53" s="5" t="s">
        <v>107</v>
      </c>
      <c r="S53" s="5" t="s">
        <v>107</v>
      </c>
      <c r="T53" s="5" t="s">
        <v>107</v>
      </c>
      <c r="U53" s="5" t="s">
        <v>107</v>
      </c>
      <c r="AD53" s="47"/>
    </row>
    <row r="54" spans="1:30" s="1" customFormat="1" ht="15" customHeight="1" x14ac:dyDescent="0.25">
      <c r="A54" s="218" t="s">
        <v>108</v>
      </c>
      <c r="B54" s="218"/>
      <c r="C54" s="2"/>
      <c r="D54" s="15" t="s">
        <v>63</v>
      </c>
      <c r="E54" s="121" t="s">
        <v>11</v>
      </c>
      <c r="F54" s="62" t="s">
        <v>31</v>
      </c>
      <c r="G54" s="57" t="s">
        <v>11</v>
      </c>
      <c r="H54" s="36" t="s">
        <v>9</v>
      </c>
      <c r="I54" s="2"/>
      <c r="J54" s="2"/>
      <c r="K54" s="5" t="s">
        <v>109</v>
      </c>
      <c r="L54" s="2"/>
      <c r="M54" s="175">
        <f>IF(M34=1100,1750+M36*2,"non-std. cabin width")</f>
        <v>1750</v>
      </c>
      <c r="N54" s="175">
        <f>IF(N34=1100,1750+N36*2,IF(N34=1600,
IF(N30="YES",2350+N36*2,2300+N36*2),
"non-std. cabin width"
))</f>
        <v>1750</v>
      </c>
      <c r="O54" s="175">
        <f>IF(O34=1200,2000+O36*2,IF(O34=2000,2800+O36*2,"non-std. cabin width"))</f>
        <v>2000</v>
      </c>
      <c r="P54" s="175">
        <f>IF(P34=2000,2800+P36*2,"non.std.cabin width")</f>
        <v>2820</v>
      </c>
      <c r="Q54" s="175">
        <f>IF(Q34=1400,
    IF(Q30="YES",2300+M36*2,2350+Q36*2),
    IF(Q34=2100,2900+Q36*2,"non-std. cabin width"
    )
)</f>
        <v>2900</v>
      </c>
      <c r="R54" s="175" t="str">
        <f>IF(R34=2100,2900+R36*2,"non std. Cabin width")</f>
        <v>non std. Cabin width</v>
      </c>
      <c r="S54" s="175">
        <f>IF(S34=1500,2400+S36*2,"non std. Cabin width")</f>
        <v>2420</v>
      </c>
      <c r="T54" s="175">
        <f>IF(T34=1800,2700+T36*2,"non std. Cabin width")</f>
        <v>2720</v>
      </c>
      <c r="U54" s="175">
        <f>IF(U34=2100,3300+U36*2,"non std. Cabin width")</f>
        <v>3320</v>
      </c>
    </row>
    <row r="55" spans="1:30" s="1" customFormat="1" ht="15" customHeight="1" x14ac:dyDescent="0.25">
      <c r="A55" s="218" t="s">
        <v>110</v>
      </c>
      <c r="B55" s="218"/>
      <c r="C55" s="2"/>
      <c r="D55" s="15" t="s">
        <v>63</v>
      </c>
      <c r="E55" s="121" t="s">
        <v>11</v>
      </c>
      <c r="F55" s="5"/>
      <c r="G55" s="5" t="s">
        <v>9</v>
      </c>
      <c r="H55" s="36" t="s">
        <v>9</v>
      </c>
      <c r="I55" s="2"/>
      <c r="J55" s="2"/>
      <c r="K55" s="5"/>
      <c r="L55" s="2"/>
      <c r="M55" s="5"/>
      <c r="N55" s="137"/>
      <c r="O55" s="5"/>
      <c r="P55" s="5"/>
      <c r="Q55" s="5"/>
      <c r="R55" s="5"/>
      <c r="S55" s="5"/>
      <c r="T55" s="5"/>
      <c r="U55" s="5"/>
    </row>
    <row r="56" spans="1:30" s="1" customFormat="1" ht="15" customHeight="1" x14ac:dyDescent="0.25">
      <c r="A56" s="218" t="s">
        <v>111</v>
      </c>
      <c r="B56" s="218"/>
      <c r="C56" s="2"/>
      <c r="D56" s="14" t="s">
        <v>9</v>
      </c>
      <c r="E56" s="121" t="s">
        <v>11</v>
      </c>
      <c r="F56" s="62" t="s">
        <v>31</v>
      </c>
      <c r="G56" s="57" t="s">
        <v>11</v>
      </c>
      <c r="H56" s="36" t="s">
        <v>9</v>
      </c>
      <c r="I56" s="2"/>
      <c r="J56" s="2"/>
      <c r="K56" s="5" t="s">
        <v>112</v>
      </c>
      <c r="L56" s="2"/>
      <c r="M56" s="5" t="s">
        <v>113</v>
      </c>
      <c r="N56" s="5" t="s">
        <v>113</v>
      </c>
      <c r="O56" s="5" t="s">
        <v>113</v>
      </c>
      <c r="P56" s="5" t="s">
        <v>113</v>
      </c>
      <c r="Q56" s="5" t="s">
        <v>113</v>
      </c>
      <c r="R56" s="5" t="s">
        <v>113</v>
      </c>
      <c r="S56" s="5" t="s">
        <v>113</v>
      </c>
      <c r="T56" s="5" t="s">
        <v>113</v>
      </c>
      <c r="U56" s="5" t="s">
        <v>113</v>
      </c>
    </row>
    <row r="57" spans="1:30" s="1" customFormat="1" x14ac:dyDescent="0.25">
      <c r="A57" s="218" t="s">
        <v>114</v>
      </c>
      <c r="B57" s="218"/>
      <c r="C57" s="2"/>
      <c r="D57" s="15" t="s">
        <v>63</v>
      </c>
      <c r="E57" s="121" t="s">
        <v>11</v>
      </c>
      <c r="F57" s="62" t="s">
        <v>31</v>
      </c>
      <c r="G57" s="57" t="s">
        <v>11</v>
      </c>
      <c r="H57" s="36" t="s">
        <v>9</v>
      </c>
      <c r="I57" s="2"/>
      <c r="J57" s="2"/>
      <c r="K57" s="5"/>
      <c r="L57" s="2"/>
      <c r="M57" s="5"/>
      <c r="N57" s="34"/>
      <c r="O57" s="5"/>
      <c r="P57" s="5"/>
      <c r="Q57" s="5"/>
      <c r="R57" s="5"/>
      <c r="S57" s="5"/>
      <c r="T57" s="5"/>
      <c r="U57" s="5"/>
    </row>
    <row r="58" spans="1:30" s="1" customFormat="1" ht="15" customHeight="1" x14ac:dyDescent="0.25">
      <c r="A58" s="218" t="s">
        <v>115</v>
      </c>
      <c r="B58" s="218"/>
      <c r="C58" s="2"/>
      <c r="D58" s="15" t="s">
        <v>63</v>
      </c>
      <c r="E58" s="121" t="s">
        <v>11</v>
      </c>
      <c r="F58" s="62" t="s">
        <v>31</v>
      </c>
      <c r="G58" s="57" t="s">
        <v>11</v>
      </c>
      <c r="H58" s="36" t="s">
        <v>9</v>
      </c>
      <c r="I58" s="2"/>
      <c r="J58" s="2"/>
      <c r="K58" s="5"/>
      <c r="L58" s="2"/>
      <c r="M58" s="175">
        <f>IF(M35&lt;&gt;1400,
    "non-std.cabin depth",
    IF(OR(M29="Front + Rear", M29="Front + Side + Rear"),
        2050,
        IF(OR(M29="Front", M29="Rear"),
            1800 + M36,
            "non-std.cabin depth"
        )
    )
)</f>
        <v>1800</v>
      </c>
      <c r="N58" s="175">
        <f>IF(AND(N35&lt;&gt;1400, N35&lt;&gt;2100),
    "non-std.cabin depth",
    IF(OR(N29="Front + REAR", N29="FRONT + SIDE + REAR"),
        N35 + 650,
        IF(OR(N29="Front", N29="REAR"),
            N35 + 500 + N36,
            "non-std.cabin depth"
        )
    )
)</f>
        <v>2600</v>
      </c>
      <c r="O58" s="175">
        <f>IF(AND(O35&lt;&gt;1500,O35&lt;&gt;2300),
"non-std.cabin depth",
IF(OR(O29="Front + REAR",O29="FRONT + SIDE + REAR"),
O35+650,
IF(OR(O29="Front",O29="REAR"),
O35+500+O36,
"non-std.cabin depth"
)
))</f>
        <v>2800</v>
      </c>
      <c r="P58" s="175">
        <f>IF(P35&lt;&gt;1500,
    "non-std.cabin depth",
    IF(OR(P29="Front + REAR", P29="FRONT + SIDE + REAR"),
        P35 + 650,
        IF(OR(P29="Front", P29="REAR"),
            P35 + 500 + P36,
            "non-std.cabin depth"
        )
    )
)</f>
        <v>2150</v>
      </c>
      <c r="Q58" s="175">
        <f>IF(AND(Q35&lt;&gt;1600, Q35&lt;&gt;2400),
    "non-std.cabin depth",
    IF(OR(Q29="Front + REAR", Q29="FRONT + SIDE + REAR"),
        Q35 + 650,
        IF(OR(Q29="Front", Q29="REAR"),
            Q35 + 500 + Q36,
            "non-std.cabin depth"
        )
    )
)</f>
        <v>2100</v>
      </c>
      <c r="R58" s="175" t="str">
        <f>IF(R35&lt;&gt;1800,
    "non-std.cabin depth",
    IF(OR(R29="Front + REAR", R29="FRONT + SIDE + REAR"),
        R35 + 650,
        IF(OR(R29="Front", R29="REAR"),
            R35 + 500 + R36,
            "non-std.cabin depth"
        )
    )
)</f>
        <v>non-std.cabin depth</v>
      </c>
      <c r="S58" s="176">
        <f>IF(S35&lt;&gt;2700,
    "non-std.cabin depth",
    IF(OR(S29="Front + REAR", S29="FRONT + SIDE + REAR"),
        S35 + 650,
        IF(OR(S29="Front", S29="REAR"),
            S35 + 450 + S36,
            "non-std.cabin depth"
        )
    )
)</f>
        <v>3350</v>
      </c>
      <c r="T58" s="176">
        <f>IF(T35&lt;&gt;2700,
    "non-std.cabin depth",
    IF(OR(T29="Front + REAR", T29="FRONT + SIDE + REAR"),
        T35 + 650,
        IF(OR(T29="Front", T29="REAR"),
            T35 + 450 + T36,
            "non-std.cabin depth"
        )
    )
)</f>
        <v>3350</v>
      </c>
      <c r="U58" s="175">
        <f>IF(U35&lt;&gt;3000,
    "non-std.cabin depth",
    IF(OR(U29="Front + REAR", U29="FRONT + SIDE + REAR"),
        U35 + 650,
        IF(OR(U29="Front", U29="REAR"),
            U35 + 450 + U36,
            "non-std.cabin depth"
        )
    )
)</f>
        <v>3650</v>
      </c>
    </row>
    <row r="59" spans="1:30" s="1" customFormat="1" ht="15" customHeight="1" x14ac:dyDescent="0.25">
      <c r="A59" s="218" t="s">
        <v>116</v>
      </c>
      <c r="B59" s="218"/>
      <c r="C59" s="2"/>
      <c r="D59" s="15" t="s">
        <v>63</v>
      </c>
      <c r="E59" s="121" t="s">
        <v>11</v>
      </c>
      <c r="F59" s="5"/>
      <c r="G59" s="5" t="s">
        <v>9</v>
      </c>
      <c r="H59" s="36" t="s">
        <v>9</v>
      </c>
      <c r="I59" s="2"/>
      <c r="J59" s="2"/>
      <c r="K59" s="5"/>
      <c r="L59" s="2"/>
      <c r="M59" s="5"/>
      <c r="N59" s="34"/>
      <c r="O59" s="5"/>
      <c r="P59" s="5"/>
      <c r="Q59" s="5"/>
      <c r="R59" s="5"/>
      <c r="S59" s="5"/>
      <c r="T59" s="5"/>
      <c r="U59" s="5"/>
    </row>
    <row r="60" spans="1:30" s="1" customFormat="1" ht="15" customHeight="1" x14ac:dyDescent="0.25">
      <c r="A60" s="218" t="s">
        <v>117</v>
      </c>
      <c r="B60" s="218"/>
      <c r="C60" s="2"/>
      <c r="D60" s="15" t="s">
        <v>63</v>
      </c>
      <c r="E60" s="121" t="s">
        <v>11</v>
      </c>
      <c r="F60" s="99" t="s">
        <v>118</v>
      </c>
      <c r="G60" s="57" t="s">
        <v>11</v>
      </c>
      <c r="H60" s="36" t="s">
        <v>9</v>
      </c>
      <c r="I60" s="2"/>
      <c r="J60" s="2"/>
      <c r="K60" s="5" t="s">
        <v>109</v>
      </c>
      <c r="L60" s="2"/>
      <c r="M60" s="5">
        <f t="shared" ref="M60:U60" si="5">ROUND(IF(M292&gt;500,(IF(M22&gt;1.6,M38+250+150+1100+300+0.035*M22*M22*1000,IF(M22&lt;1.6,M38+100+100+1100+300+0.035*M22*M22*1000,M38+200+120+1100+300+0.035*M22*M22*1000))),IF(M22&gt;1.6,M38+250+150+1000+0.035*M22*M22*1000,IF(M22&lt;1.6,M38+100+100+1000+0.035*M22*M22*1000,M38+200+120+1000+0.035*M22*M22*1000))),0)</f>
        <v>3710</v>
      </c>
      <c r="N60" s="5">
        <f t="shared" si="5"/>
        <v>3710</v>
      </c>
      <c r="O60" s="5">
        <f t="shared" si="5"/>
        <v>4035</v>
      </c>
      <c r="P60" s="5">
        <f t="shared" si="5"/>
        <v>4210</v>
      </c>
      <c r="Q60" s="5">
        <f t="shared" si="5"/>
        <v>4135</v>
      </c>
      <c r="R60" s="5">
        <f t="shared" si="5"/>
        <v>4135</v>
      </c>
      <c r="S60" s="5">
        <f t="shared" si="5"/>
        <v>4210</v>
      </c>
      <c r="T60" s="5">
        <f t="shared" si="5"/>
        <v>4135</v>
      </c>
      <c r="U60" s="5">
        <f t="shared" si="5"/>
        <v>4135</v>
      </c>
    </row>
    <row r="61" spans="1:30" s="1" customFormat="1" ht="15" customHeight="1" x14ac:dyDescent="0.25">
      <c r="A61" s="218" t="s">
        <v>119</v>
      </c>
      <c r="B61" s="218"/>
      <c r="C61" s="2"/>
      <c r="D61" s="15" t="s">
        <v>63</v>
      </c>
      <c r="E61" s="121" t="s">
        <v>11</v>
      </c>
      <c r="F61" s="5"/>
      <c r="G61" s="5" t="s">
        <v>9</v>
      </c>
      <c r="H61" s="36" t="s">
        <v>9</v>
      </c>
      <c r="I61" s="2"/>
      <c r="J61" s="2"/>
      <c r="K61" s="5"/>
      <c r="L61" s="2"/>
      <c r="M61" s="5"/>
      <c r="N61" s="34"/>
      <c r="O61" s="5"/>
      <c r="P61" s="5"/>
      <c r="Q61" s="5"/>
      <c r="R61" s="5"/>
      <c r="S61" s="5"/>
      <c r="T61" s="5"/>
      <c r="U61" s="5"/>
    </row>
    <row r="62" spans="1:30" s="1" customFormat="1" ht="15" customHeight="1" x14ac:dyDescent="0.25">
      <c r="A62" s="218" t="s">
        <v>120</v>
      </c>
      <c r="B62" s="218"/>
      <c r="C62" s="2"/>
      <c r="D62" s="15" t="s">
        <v>63</v>
      </c>
      <c r="E62" s="121" t="s">
        <v>11</v>
      </c>
      <c r="F62" s="99" t="s">
        <v>121</v>
      </c>
      <c r="G62" s="57" t="s">
        <v>11</v>
      </c>
      <c r="H62" s="36" t="s">
        <v>9</v>
      </c>
      <c r="I62" s="2"/>
      <c r="J62" s="2"/>
      <c r="K62" s="5" t="s">
        <v>109</v>
      </c>
      <c r="L62" s="2"/>
      <c r="M62" s="172">
        <f>IF(M20&lt;1600,IF(M22=2,1600,IF(M22=1,1200,IF(M22=1.6,1400,"non std. Speed"))),IF(M22=2,1800,IF(M22=1,1400,IF(M22=1.6,1600,"non std. Speed"))))</f>
        <v>1400</v>
      </c>
      <c r="N62" s="172">
        <f>IF(N20&lt;1600,IF(N22=2,1600,IF(N22=1,1200,IF(N22=1.6,1400,"non std. Speed"))),IF(N22=2,1800,IF(N22=1,1400,IF(N22=1.6,1600,"non std. Speed"))))</f>
        <v>1400</v>
      </c>
      <c r="O62" s="172">
        <f>IF(O20&lt;1600,IF(O22=2,1600,IF(O22=1,1200,IF(O22=1.6,1400,"non std. Speed"))),IF(O22=2,1800,IF(O22=1,1400,IF(O22=1.6,1600,"non std. Speed"))))</f>
        <v>1200</v>
      </c>
      <c r="P62" s="172">
        <f>IF(P20&lt;1600,IF(P22=2,1600,IF(P22=1,1200,IF(P22=1.6,1400,"non std. Speed"))),IF(P22=2,1800,IF(P22=1,1400,IF(P22=1.6,1600,"non std. Speed"))))</f>
        <v>1400</v>
      </c>
      <c r="Q62" s="172">
        <f>IF(Q20&lt;1600,IF(Q22=2,1600,IF(Q22=1,1200,IF(Q22=1.6,1400,"non std. Speed"))),IF(Q22=2,1800,IF(Q22=1,1400,IF(Q22=1.6,1600,"non std. Speed"))))</f>
        <v>1400</v>
      </c>
      <c r="R62" s="179">
        <f>IF(R22=2,1850,
IF(R22=1,1500,IF(R22=1.6,1700,"non std. Speed")
))</f>
        <v>1500</v>
      </c>
      <c r="S62" s="179">
        <f>IF(S22=2,1850,
IF(S22=1,1500,IF(S22=1.6,1700,"non std. Speed")
))</f>
        <v>1700</v>
      </c>
      <c r="T62" s="179">
        <f>IF(T22=2,1850,
IF(T22=1,1600,IF(T22=1.6,1800,"non std. Speed")
))</f>
        <v>1600</v>
      </c>
      <c r="U62" s="179">
        <f>IF(U22=1,1600,"non std. Speed")</f>
        <v>1600</v>
      </c>
    </row>
    <row r="63" spans="1:30" s="1" customFormat="1" ht="15" customHeight="1" x14ac:dyDescent="0.25">
      <c r="A63" s="218" t="s">
        <v>122</v>
      </c>
      <c r="B63" s="218"/>
      <c r="C63" s="2"/>
      <c r="D63" s="15" t="s">
        <v>63</v>
      </c>
      <c r="E63" s="121" t="s">
        <v>11</v>
      </c>
      <c r="F63" s="5"/>
      <c r="G63" s="5" t="s">
        <v>9</v>
      </c>
      <c r="H63" s="36" t="s">
        <v>9</v>
      </c>
      <c r="I63" s="2"/>
      <c r="J63" s="2"/>
      <c r="K63" s="5"/>
      <c r="L63" s="2"/>
      <c r="M63" s="5"/>
      <c r="N63" s="34"/>
      <c r="O63" s="5"/>
      <c r="P63" s="5"/>
      <c r="Q63" s="5"/>
      <c r="R63" s="5"/>
      <c r="S63" s="5"/>
      <c r="T63" s="5"/>
      <c r="U63" s="5"/>
    </row>
    <row r="64" spans="1:30" s="1" customFormat="1" ht="15" customHeight="1" x14ac:dyDescent="0.25">
      <c r="A64" s="218" t="s">
        <v>123</v>
      </c>
      <c r="B64" s="218"/>
      <c r="C64" s="2"/>
      <c r="D64" s="15" t="s">
        <v>63</v>
      </c>
      <c r="E64" s="121" t="s">
        <v>11</v>
      </c>
      <c r="F64" s="62" t="s">
        <v>124</v>
      </c>
      <c r="G64" s="57" t="s">
        <v>11</v>
      </c>
      <c r="H64" s="36" t="s">
        <v>9</v>
      </c>
      <c r="I64" s="2"/>
      <c r="J64" s="2"/>
      <c r="K64" s="5"/>
      <c r="L64" s="2"/>
      <c r="M64" s="5"/>
      <c r="N64" s="34"/>
      <c r="O64" s="5"/>
      <c r="P64" s="5"/>
      <c r="Q64" s="5"/>
      <c r="R64" s="5"/>
      <c r="S64" s="5"/>
      <c r="T64" s="5"/>
      <c r="U64" s="5"/>
    </row>
    <row r="65" spans="1:21" s="1" customFormat="1" ht="15" customHeight="1" x14ac:dyDescent="0.25">
      <c r="A65" s="218" t="s">
        <v>125</v>
      </c>
      <c r="B65" s="218"/>
      <c r="C65" s="2"/>
      <c r="D65" s="40" t="s">
        <v>63</v>
      </c>
      <c r="E65" s="121" t="s">
        <v>11</v>
      </c>
      <c r="F65" s="5"/>
      <c r="G65" s="5" t="s">
        <v>9</v>
      </c>
      <c r="H65" s="36" t="s">
        <v>9</v>
      </c>
      <c r="I65" s="2"/>
      <c r="J65" s="2"/>
      <c r="K65" s="5"/>
      <c r="L65" s="2"/>
      <c r="M65" s="5"/>
      <c r="N65" s="34"/>
      <c r="O65" s="5"/>
      <c r="P65" s="5"/>
      <c r="Q65" s="5"/>
      <c r="R65" s="5"/>
      <c r="S65" s="5"/>
      <c r="T65" s="5"/>
      <c r="U65" s="5"/>
    </row>
    <row r="66" spans="1:21" s="1" customFormat="1" ht="15" customHeight="1" x14ac:dyDescent="0.25">
      <c r="A66" s="218" t="s">
        <v>123</v>
      </c>
      <c r="B66" s="218"/>
      <c r="C66" s="2"/>
      <c r="D66" s="87" t="s">
        <v>63</v>
      </c>
      <c r="E66" s="121" t="s">
        <v>11</v>
      </c>
      <c r="F66" s="62" t="s">
        <v>31</v>
      </c>
      <c r="G66" s="57" t="s">
        <v>11</v>
      </c>
      <c r="H66" s="36" t="s">
        <v>9</v>
      </c>
      <c r="I66" s="2"/>
      <c r="J66" s="2"/>
      <c r="K66" s="5"/>
      <c r="L66" s="2"/>
      <c r="M66" s="5"/>
      <c r="N66" s="34"/>
      <c r="O66" s="5"/>
      <c r="P66" s="5"/>
      <c r="Q66" s="5"/>
      <c r="R66" s="5"/>
      <c r="S66" s="5"/>
      <c r="T66" s="5"/>
      <c r="U66" s="5"/>
    </row>
    <row r="67" spans="1:21" s="1" customFormat="1" ht="15" customHeight="1" x14ac:dyDescent="0.25">
      <c r="A67" s="218" t="s">
        <v>125</v>
      </c>
      <c r="B67" s="218"/>
      <c r="C67" s="2"/>
      <c r="D67" s="87" t="s">
        <v>63</v>
      </c>
      <c r="E67" s="121" t="s">
        <v>11</v>
      </c>
      <c r="F67" s="5"/>
      <c r="G67" s="5" t="s">
        <v>9</v>
      </c>
      <c r="H67" s="36" t="s">
        <v>9</v>
      </c>
      <c r="I67" s="2"/>
      <c r="J67" s="2"/>
      <c r="K67" s="5"/>
      <c r="L67" s="2"/>
      <c r="M67" s="20"/>
      <c r="N67" s="5"/>
      <c r="O67" s="5"/>
      <c r="P67" s="5"/>
      <c r="Q67" s="5"/>
      <c r="R67" s="5"/>
      <c r="S67" s="5"/>
      <c r="T67" s="5"/>
      <c r="U67" s="5"/>
    </row>
    <row r="68" spans="1:21" s="1" customFormat="1" ht="15" customHeight="1" x14ac:dyDescent="0.25">
      <c r="A68" s="218" t="s">
        <v>126</v>
      </c>
      <c r="B68" s="218"/>
      <c r="C68" s="2"/>
      <c r="D68" s="87" t="s">
        <v>63</v>
      </c>
      <c r="E68" s="121" t="s">
        <v>11</v>
      </c>
      <c r="F68" s="62" t="s">
        <v>31</v>
      </c>
      <c r="G68" s="57" t="s">
        <v>11</v>
      </c>
      <c r="H68" s="36" t="s">
        <v>9</v>
      </c>
      <c r="I68" s="2"/>
      <c r="J68" s="2"/>
      <c r="K68" s="5"/>
      <c r="L68" s="2"/>
      <c r="M68" s="5"/>
      <c r="N68" s="5"/>
      <c r="O68" s="5"/>
      <c r="P68" s="5"/>
      <c r="Q68" s="5"/>
      <c r="R68" s="5"/>
      <c r="S68" s="5"/>
      <c r="T68" s="5"/>
      <c r="U68" s="5"/>
    </row>
    <row r="69" spans="1:21" s="1" customFormat="1" ht="15" customHeight="1" x14ac:dyDescent="0.25">
      <c r="A69" s="218" t="s">
        <v>127</v>
      </c>
      <c r="B69" s="218"/>
      <c r="C69" s="2"/>
      <c r="D69" s="87" t="s">
        <v>63</v>
      </c>
      <c r="E69" s="121" t="s">
        <v>11</v>
      </c>
      <c r="F69" s="5"/>
      <c r="G69" s="5" t="s">
        <v>9</v>
      </c>
      <c r="H69" s="36" t="s">
        <v>9</v>
      </c>
      <c r="I69" s="2"/>
      <c r="J69" s="2"/>
      <c r="K69" s="5"/>
      <c r="L69" s="2"/>
      <c r="M69" s="5"/>
      <c r="N69" s="5"/>
      <c r="O69" s="5"/>
      <c r="P69" s="5"/>
      <c r="Q69" s="5"/>
      <c r="R69" s="5"/>
      <c r="S69" s="5"/>
      <c r="T69" s="5"/>
      <c r="U69" s="5"/>
    </row>
    <row r="70" spans="1:21" s="1" customFormat="1" ht="15" customHeight="1" x14ac:dyDescent="0.25">
      <c r="A70" s="218" t="s">
        <v>128</v>
      </c>
      <c r="B70" s="218"/>
      <c r="C70" s="2"/>
      <c r="D70" s="87" t="s">
        <v>63</v>
      </c>
      <c r="E70" s="121" t="s">
        <v>11</v>
      </c>
      <c r="F70" s="5" t="s">
        <v>16</v>
      </c>
      <c r="G70" s="5" t="s">
        <v>9</v>
      </c>
      <c r="H70" s="36" t="s">
        <v>9</v>
      </c>
      <c r="I70" s="2"/>
      <c r="J70" s="2"/>
      <c r="K70" s="37"/>
      <c r="L70" s="2"/>
      <c r="M70" s="5"/>
      <c r="N70" s="5"/>
      <c r="O70" s="5"/>
      <c r="P70" s="5"/>
      <c r="Q70" s="5"/>
      <c r="R70" s="5"/>
      <c r="S70" s="5"/>
      <c r="T70" s="5"/>
      <c r="U70" s="5"/>
    </row>
    <row r="71" spans="1:21" s="1" customFormat="1" ht="15" customHeight="1" x14ac:dyDescent="0.25">
      <c r="A71" s="218" t="s">
        <v>129</v>
      </c>
      <c r="B71" s="218"/>
      <c r="C71" s="2"/>
      <c r="D71" s="87" t="s">
        <v>63</v>
      </c>
      <c r="E71" s="121" t="s">
        <v>11</v>
      </c>
      <c r="F71" s="5" t="s">
        <v>16</v>
      </c>
      <c r="G71" s="5" t="s">
        <v>9</v>
      </c>
      <c r="H71" s="36" t="s">
        <v>9</v>
      </c>
      <c r="I71" s="2"/>
      <c r="J71" s="2"/>
      <c r="K71" s="32"/>
      <c r="L71" s="2"/>
      <c r="M71" s="37"/>
      <c r="N71" s="37"/>
      <c r="O71" s="5"/>
      <c r="P71" s="5"/>
      <c r="Q71" s="5"/>
      <c r="R71" s="5"/>
      <c r="S71" s="5"/>
      <c r="T71" s="5"/>
      <c r="U71" s="5"/>
    </row>
    <row r="72" spans="1:21" s="1" customFormat="1" ht="15" customHeight="1" x14ac:dyDescent="0.25">
      <c r="A72" s="230"/>
      <c r="B72" s="230"/>
      <c r="C72" s="2"/>
      <c r="D72" s="16"/>
      <c r="E72" s="16"/>
      <c r="F72" s="2"/>
      <c r="G72" s="2"/>
      <c r="H72" s="16"/>
      <c r="I72" s="2"/>
      <c r="J72" s="2"/>
      <c r="K72" s="2"/>
      <c r="L72" s="2"/>
      <c r="M72" s="67"/>
      <c r="N72" s="67"/>
      <c r="O72" s="2"/>
      <c r="P72" s="2"/>
      <c r="Q72" s="2"/>
      <c r="R72" s="2"/>
      <c r="S72" s="2"/>
      <c r="T72" s="2"/>
      <c r="U72" s="2"/>
    </row>
    <row r="73" spans="1:21" s="1" customFormat="1" ht="15" customHeight="1" x14ac:dyDescent="0.25">
      <c r="A73" s="224" t="s">
        <v>130</v>
      </c>
      <c r="B73" s="224"/>
      <c r="C73" s="2"/>
      <c r="D73" s="16"/>
      <c r="E73" s="16"/>
      <c r="F73" s="2"/>
      <c r="G73" s="2"/>
      <c r="H73" s="16"/>
      <c r="I73" s="2"/>
      <c r="J73" s="2"/>
      <c r="K73" s="2"/>
      <c r="L73" s="2"/>
      <c r="M73" s="2"/>
      <c r="N73" s="2"/>
      <c r="O73" s="2"/>
      <c r="P73" s="2"/>
      <c r="Q73" s="2"/>
      <c r="R73" s="2"/>
      <c r="S73" s="2"/>
      <c r="T73" s="2"/>
      <c r="U73" s="2"/>
    </row>
    <row r="74" spans="1:21" s="1" customFormat="1" x14ac:dyDescent="0.25">
      <c r="A74" s="218" t="s">
        <v>131</v>
      </c>
      <c r="B74" s="218"/>
      <c r="C74" s="2"/>
      <c r="D74" s="87" t="s">
        <v>9</v>
      </c>
      <c r="E74" s="121" t="s">
        <v>11</v>
      </c>
      <c r="F74" s="157" t="s">
        <v>31</v>
      </c>
      <c r="G74" s="57" t="s">
        <v>11</v>
      </c>
      <c r="H74" s="56" t="s">
        <v>9</v>
      </c>
      <c r="I74" s="2"/>
      <c r="J74" s="2"/>
      <c r="K74" s="32"/>
      <c r="L74" s="2"/>
      <c r="M74" s="5" t="s">
        <v>132</v>
      </c>
      <c r="N74" s="5" t="s">
        <v>132</v>
      </c>
      <c r="O74" s="5" t="s">
        <v>132</v>
      </c>
      <c r="P74" s="5" t="s">
        <v>132</v>
      </c>
      <c r="Q74" s="5" t="s">
        <v>132</v>
      </c>
      <c r="R74" s="5" t="s">
        <v>132</v>
      </c>
      <c r="S74" s="5" t="s">
        <v>132</v>
      </c>
      <c r="T74" s="5" t="s">
        <v>132</v>
      </c>
      <c r="U74" s="5" t="s">
        <v>132</v>
      </c>
    </row>
    <row r="75" spans="1:21" s="1" customFormat="1" x14ac:dyDescent="0.25">
      <c r="A75" s="223" t="s">
        <v>133</v>
      </c>
      <c r="B75" s="223"/>
      <c r="C75" s="2"/>
      <c r="D75" s="87" t="s">
        <v>9</v>
      </c>
      <c r="E75" s="121" t="s">
        <v>11</v>
      </c>
      <c r="F75" s="157" t="s">
        <v>31</v>
      </c>
      <c r="G75" s="57" t="s">
        <v>11</v>
      </c>
      <c r="H75" s="56" t="s">
        <v>9</v>
      </c>
      <c r="I75" s="2"/>
      <c r="J75" s="2"/>
      <c r="K75" s="20"/>
      <c r="L75" s="2"/>
      <c r="M75" s="5"/>
      <c r="N75" s="5"/>
      <c r="O75" s="5"/>
      <c r="P75" s="5"/>
      <c r="Q75" s="5"/>
      <c r="R75" s="5"/>
      <c r="S75" s="5"/>
      <c r="T75" s="5"/>
      <c r="U75" s="5"/>
    </row>
    <row r="76" spans="1:21" s="1" customFormat="1" x14ac:dyDescent="0.25">
      <c r="A76" s="218" t="s">
        <v>134</v>
      </c>
      <c r="B76" s="218"/>
      <c r="C76" s="2"/>
      <c r="D76" s="87" t="s">
        <v>135</v>
      </c>
      <c r="E76" s="121" t="s">
        <v>11</v>
      </c>
      <c r="F76" s="158" t="s">
        <v>16</v>
      </c>
      <c r="G76" s="5" t="s">
        <v>9</v>
      </c>
      <c r="H76" s="56" t="s">
        <v>9</v>
      </c>
      <c r="I76" s="2"/>
      <c r="J76" s="2"/>
      <c r="K76" s="5"/>
      <c r="L76" s="2"/>
      <c r="M76" s="6"/>
      <c r="N76" s="6"/>
      <c r="O76" s="6"/>
      <c r="P76" s="6"/>
      <c r="Q76" s="6"/>
      <c r="R76" s="6"/>
      <c r="S76" s="6"/>
      <c r="T76" s="6"/>
      <c r="U76" s="6"/>
    </row>
    <row r="77" spans="1:21" s="1" customFormat="1" x14ac:dyDescent="0.25">
      <c r="A77" s="218" t="s">
        <v>136</v>
      </c>
      <c r="B77" s="218"/>
      <c r="C77" s="2"/>
      <c r="D77" s="13" t="s">
        <v>9</v>
      </c>
      <c r="E77" s="121" t="s">
        <v>11</v>
      </c>
      <c r="F77" s="158" t="s">
        <v>16</v>
      </c>
      <c r="G77" s="5" t="s">
        <v>9</v>
      </c>
      <c r="H77" s="56" t="s">
        <v>9</v>
      </c>
      <c r="I77" s="2"/>
      <c r="J77" s="2"/>
      <c r="K77" s="5"/>
      <c r="L77" s="2"/>
      <c r="M77" s="6" t="s">
        <v>137</v>
      </c>
      <c r="N77" s="6" t="s">
        <v>137</v>
      </c>
      <c r="O77" s="6" t="s">
        <v>137</v>
      </c>
      <c r="P77" s="6" t="s">
        <v>137</v>
      </c>
      <c r="Q77" s="6" t="s">
        <v>137</v>
      </c>
      <c r="R77" s="6" t="s">
        <v>137</v>
      </c>
      <c r="S77" s="6" t="s">
        <v>137</v>
      </c>
      <c r="T77" s="6" t="s">
        <v>137</v>
      </c>
      <c r="U77" s="6" t="s">
        <v>137</v>
      </c>
    </row>
    <row r="78" spans="1:21" s="1" customFormat="1" x14ac:dyDescent="0.25">
      <c r="A78" s="218" t="s">
        <v>138</v>
      </c>
      <c r="B78" s="218"/>
      <c r="C78" s="2"/>
      <c r="D78" s="15" t="s">
        <v>139</v>
      </c>
      <c r="E78" s="121" t="s">
        <v>11</v>
      </c>
      <c r="F78" s="158" t="s">
        <v>16</v>
      </c>
      <c r="G78" s="5" t="s">
        <v>9</v>
      </c>
      <c r="H78" s="56" t="s">
        <v>9</v>
      </c>
      <c r="I78" s="2"/>
      <c r="J78" s="2"/>
      <c r="K78" s="5"/>
      <c r="L78" s="2"/>
      <c r="M78" s="6">
        <v>400</v>
      </c>
      <c r="N78" s="6">
        <v>400</v>
      </c>
      <c r="O78" s="6">
        <v>400</v>
      </c>
      <c r="P78" s="6">
        <v>400</v>
      </c>
      <c r="Q78" s="6">
        <v>400</v>
      </c>
      <c r="R78" s="6">
        <v>400</v>
      </c>
      <c r="S78" s="6">
        <v>400</v>
      </c>
      <c r="T78" s="6">
        <v>400</v>
      </c>
      <c r="U78" s="6">
        <v>400</v>
      </c>
    </row>
    <row r="79" spans="1:21" s="1" customFormat="1" x14ac:dyDescent="0.25">
      <c r="A79" s="218" t="s">
        <v>140</v>
      </c>
      <c r="B79" s="218"/>
      <c r="C79" s="2"/>
      <c r="D79" s="15" t="s">
        <v>141</v>
      </c>
      <c r="E79" s="121" t="s">
        <v>11</v>
      </c>
      <c r="F79" s="158" t="s">
        <v>16</v>
      </c>
      <c r="G79" s="5" t="s">
        <v>9</v>
      </c>
      <c r="H79" s="56" t="s">
        <v>9</v>
      </c>
      <c r="I79" s="2"/>
      <c r="J79" s="2"/>
      <c r="K79" s="5"/>
      <c r="L79" s="2"/>
      <c r="M79" s="6"/>
      <c r="N79" s="6"/>
      <c r="O79" s="6"/>
      <c r="P79" s="6"/>
      <c r="Q79" s="6"/>
      <c r="R79" s="6"/>
      <c r="S79" s="6"/>
      <c r="T79" s="6"/>
      <c r="U79" s="6"/>
    </row>
    <row r="80" spans="1:21" x14ac:dyDescent="0.25">
      <c r="A80" s="218" t="s">
        <v>142</v>
      </c>
      <c r="B80" s="218"/>
      <c r="D80" s="15" t="s">
        <v>143</v>
      </c>
      <c r="E80" s="121" t="s">
        <v>11</v>
      </c>
      <c r="F80" s="158" t="s">
        <v>16</v>
      </c>
      <c r="G80" s="5" t="s">
        <v>9</v>
      </c>
      <c r="H80" s="56" t="s">
        <v>9</v>
      </c>
      <c r="K80" s="5"/>
      <c r="M80" s="138">
        <f t="shared" ref="M80:U80" si="6">1.5*M21</f>
        <v>12</v>
      </c>
      <c r="N80" s="138">
        <f t="shared" si="6"/>
        <v>19.5</v>
      </c>
      <c r="O80" s="138">
        <f t="shared" si="6"/>
        <v>25.5</v>
      </c>
      <c r="P80" s="138">
        <f t="shared" si="6"/>
        <v>27</v>
      </c>
      <c r="Q80" s="138">
        <f t="shared" si="6"/>
        <v>31.5</v>
      </c>
      <c r="R80" s="138">
        <f t="shared" si="6"/>
        <v>37.5</v>
      </c>
      <c r="S80" s="138">
        <f t="shared" si="6"/>
        <v>40.5</v>
      </c>
      <c r="T80" s="138">
        <f t="shared" si="6"/>
        <v>49.5</v>
      </c>
      <c r="U80" s="138">
        <f t="shared" si="6"/>
        <v>70.5</v>
      </c>
    </row>
    <row r="81" spans="1:21" x14ac:dyDescent="0.25">
      <c r="A81" s="223" t="s">
        <v>144</v>
      </c>
      <c r="B81" s="223"/>
      <c r="D81" s="15" t="s">
        <v>145</v>
      </c>
      <c r="E81" s="121" t="s">
        <v>11</v>
      </c>
      <c r="F81" s="159" t="s">
        <v>146</v>
      </c>
      <c r="G81" s="57" t="s">
        <v>11</v>
      </c>
      <c r="H81" s="56" t="s">
        <v>9</v>
      </c>
      <c r="K81" s="5"/>
      <c r="M81" s="138">
        <f>M80+1.5</f>
        <v>13.5</v>
      </c>
      <c r="N81" s="138">
        <f t="shared" ref="N81:U81" si="7">N80+1.5</f>
        <v>21</v>
      </c>
      <c r="O81" s="138">
        <f t="shared" si="7"/>
        <v>27</v>
      </c>
      <c r="P81" s="138">
        <f t="shared" si="7"/>
        <v>28.5</v>
      </c>
      <c r="Q81" s="138">
        <f t="shared" si="7"/>
        <v>33</v>
      </c>
      <c r="R81" s="138">
        <f t="shared" si="7"/>
        <v>39</v>
      </c>
      <c r="S81" s="138">
        <f t="shared" si="7"/>
        <v>42</v>
      </c>
      <c r="T81" s="138">
        <f t="shared" si="7"/>
        <v>51</v>
      </c>
      <c r="U81" s="138">
        <f t="shared" si="7"/>
        <v>72</v>
      </c>
    </row>
    <row r="82" spans="1:21" x14ac:dyDescent="0.25">
      <c r="A82" s="218" t="s">
        <v>147</v>
      </c>
      <c r="B82" s="218"/>
      <c r="D82" s="40" t="s">
        <v>148</v>
      </c>
      <c r="E82" s="121" t="s">
        <v>11</v>
      </c>
      <c r="F82" s="159" t="s">
        <v>149</v>
      </c>
      <c r="G82" s="57" t="s">
        <v>11</v>
      </c>
      <c r="H82" s="56" t="s">
        <v>9</v>
      </c>
      <c r="K82" s="5"/>
      <c r="M82" s="6">
        <f>M80*1000/(400*1.732*0.85)</f>
        <v>20.377666077978535</v>
      </c>
      <c r="N82" s="6">
        <f t="shared" ref="N82:U82" si="8">N80*1000/(400*1.732*0.85)</f>
        <v>33.113707376715119</v>
      </c>
      <c r="O82" s="6">
        <f t="shared" si="8"/>
        <v>43.302540415704385</v>
      </c>
      <c r="P82" s="6">
        <f t="shared" si="8"/>
        <v>45.849748675451707</v>
      </c>
      <c r="Q82" s="6">
        <f t="shared" si="8"/>
        <v>53.491373454693658</v>
      </c>
      <c r="R82" s="6">
        <f t="shared" si="8"/>
        <v>63.680206493682924</v>
      </c>
      <c r="S82" s="6">
        <f t="shared" si="8"/>
        <v>68.77462301317756</v>
      </c>
      <c r="T82" s="6">
        <f t="shared" si="8"/>
        <v>84.057872571661463</v>
      </c>
      <c r="U82" s="6">
        <f t="shared" si="8"/>
        <v>119.7187882081239</v>
      </c>
    </row>
    <row r="83" spans="1:21" x14ac:dyDescent="0.25">
      <c r="A83" s="218" t="s">
        <v>150</v>
      </c>
      <c r="B83" s="218"/>
      <c r="D83" s="87" t="s">
        <v>148</v>
      </c>
      <c r="E83" s="121" t="s">
        <v>11</v>
      </c>
      <c r="F83" s="158" t="s">
        <v>16</v>
      </c>
      <c r="G83" s="5" t="s">
        <v>9</v>
      </c>
      <c r="H83" s="56" t="s">
        <v>9</v>
      </c>
      <c r="K83" s="5"/>
      <c r="M83" s="6">
        <f>M82*2</f>
        <v>40.75533215595707</v>
      </c>
      <c r="N83" s="6">
        <f t="shared" ref="N83:U83" si="9">N82*2</f>
        <v>66.227414753430239</v>
      </c>
      <c r="O83" s="6">
        <f t="shared" si="9"/>
        <v>86.60508083140877</v>
      </c>
      <c r="P83" s="6">
        <f t="shared" si="9"/>
        <v>91.699497350903414</v>
      </c>
      <c r="Q83" s="6">
        <f t="shared" si="9"/>
        <v>106.98274690938732</v>
      </c>
      <c r="R83" s="6">
        <f t="shared" si="9"/>
        <v>127.36041298736585</v>
      </c>
      <c r="S83" s="6">
        <f t="shared" si="9"/>
        <v>137.54924602635512</v>
      </c>
      <c r="T83" s="6">
        <f t="shared" si="9"/>
        <v>168.11574514332293</v>
      </c>
      <c r="U83" s="6">
        <f t="shared" si="9"/>
        <v>239.43757641624779</v>
      </c>
    </row>
    <row r="84" spans="1:21" x14ac:dyDescent="0.25">
      <c r="A84" s="218" t="s">
        <v>151</v>
      </c>
      <c r="B84" s="218"/>
      <c r="D84" s="87" t="s">
        <v>25</v>
      </c>
      <c r="E84" s="121" t="s">
        <v>11</v>
      </c>
      <c r="F84" s="158" t="s">
        <v>16</v>
      </c>
      <c r="G84" s="5" t="s">
        <v>9</v>
      </c>
      <c r="H84" s="56" t="s">
        <v>9</v>
      </c>
      <c r="K84" s="5"/>
      <c r="M84" s="6" t="s">
        <v>11</v>
      </c>
      <c r="N84" s="6" t="s">
        <v>11</v>
      </c>
      <c r="O84" s="6" t="s">
        <v>11</v>
      </c>
      <c r="P84" s="6" t="s">
        <v>11</v>
      </c>
      <c r="Q84" s="6" t="s">
        <v>11</v>
      </c>
      <c r="R84" s="6" t="s">
        <v>11</v>
      </c>
      <c r="S84" s="6" t="s">
        <v>11</v>
      </c>
      <c r="T84" s="6" t="s">
        <v>11</v>
      </c>
      <c r="U84" s="6" t="s">
        <v>11</v>
      </c>
    </row>
    <row r="85" spans="1:21" x14ac:dyDescent="0.25">
      <c r="A85" s="218" t="s">
        <v>152</v>
      </c>
      <c r="B85" s="218"/>
      <c r="D85" s="87" t="s">
        <v>153</v>
      </c>
      <c r="E85" s="121" t="s">
        <v>11</v>
      </c>
      <c r="F85" s="158" t="s">
        <v>16</v>
      </c>
      <c r="G85" s="5" t="s">
        <v>9</v>
      </c>
      <c r="H85" s="56" t="s">
        <v>9</v>
      </c>
      <c r="K85" s="5"/>
      <c r="M85" s="7">
        <v>0.7</v>
      </c>
      <c r="N85" s="7">
        <v>0.7</v>
      </c>
      <c r="O85" s="7">
        <v>0.7</v>
      </c>
      <c r="P85" s="7">
        <v>0.7</v>
      </c>
      <c r="Q85" s="7">
        <v>0.7</v>
      </c>
      <c r="R85" s="7">
        <v>0.7</v>
      </c>
      <c r="S85" s="7">
        <v>0.7</v>
      </c>
      <c r="T85" s="7">
        <v>0.7</v>
      </c>
      <c r="U85" s="7">
        <v>0.7</v>
      </c>
    </row>
    <row r="86" spans="1:21" x14ac:dyDescent="0.25">
      <c r="A86" s="223" t="s">
        <v>154</v>
      </c>
      <c r="B86" s="223"/>
      <c r="D86" s="87" t="s">
        <v>155</v>
      </c>
      <c r="E86" s="121" t="s">
        <v>11</v>
      </c>
      <c r="F86" s="158" t="s">
        <v>16</v>
      </c>
      <c r="G86" s="5" t="s">
        <v>9</v>
      </c>
      <c r="H86" s="56" t="s">
        <v>9</v>
      </c>
      <c r="K86" s="5"/>
      <c r="M86" s="6">
        <f>M80/100*M79</f>
        <v>0</v>
      </c>
      <c r="N86" s="6">
        <f t="shared" ref="N86" si="10">N80/100*N79</f>
        <v>0</v>
      </c>
      <c r="O86" s="6">
        <f t="shared" ref="O86:U86" si="11">O80/100*O79</f>
        <v>0</v>
      </c>
      <c r="P86" s="6">
        <f t="shared" si="11"/>
        <v>0</v>
      </c>
      <c r="Q86" s="6">
        <f t="shared" si="11"/>
        <v>0</v>
      </c>
      <c r="R86" s="6">
        <f t="shared" si="11"/>
        <v>0</v>
      </c>
      <c r="S86" s="6">
        <f t="shared" si="11"/>
        <v>0</v>
      </c>
      <c r="T86" s="6">
        <f t="shared" si="11"/>
        <v>0</v>
      </c>
      <c r="U86" s="6">
        <f t="shared" si="11"/>
        <v>0</v>
      </c>
    </row>
    <row r="87" spans="1:21" x14ac:dyDescent="0.25">
      <c r="A87" s="218" t="s">
        <v>156</v>
      </c>
      <c r="B87" s="218"/>
      <c r="D87" s="87" t="s">
        <v>157</v>
      </c>
      <c r="E87" s="121" t="s">
        <v>11</v>
      </c>
      <c r="F87" s="100" t="s">
        <v>158</v>
      </c>
      <c r="G87" s="57" t="s">
        <v>11</v>
      </c>
      <c r="H87" s="56" t="s">
        <v>9</v>
      </c>
      <c r="K87" s="37"/>
      <c r="M87" s="5">
        <f>0.5*M86*3600</f>
        <v>0</v>
      </c>
      <c r="N87" s="5">
        <f t="shared" ref="N87:U87" si="12">0.5*N86*3600</f>
        <v>0</v>
      </c>
      <c r="O87" s="5">
        <f t="shared" si="12"/>
        <v>0</v>
      </c>
      <c r="P87" s="5">
        <f t="shared" si="12"/>
        <v>0</v>
      </c>
      <c r="Q87" s="5">
        <f t="shared" si="12"/>
        <v>0</v>
      </c>
      <c r="R87" s="5">
        <f t="shared" si="12"/>
        <v>0</v>
      </c>
      <c r="S87" s="5">
        <f t="shared" si="12"/>
        <v>0</v>
      </c>
      <c r="T87" s="5">
        <f t="shared" si="12"/>
        <v>0</v>
      </c>
      <c r="U87" s="5">
        <f t="shared" si="12"/>
        <v>0</v>
      </c>
    </row>
    <row r="88" spans="1:21" ht="15" customHeight="1" x14ac:dyDescent="0.25">
      <c r="A88" s="218" t="s">
        <v>159</v>
      </c>
      <c r="B88" s="218"/>
      <c r="D88" s="87" t="s">
        <v>160</v>
      </c>
      <c r="E88" s="121" t="s">
        <v>11</v>
      </c>
      <c r="F88" s="160" t="s">
        <v>16</v>
      </c>
      <c r="G88" s="5" t="s">
        <v>9</v>
      </c>
      <c r="H88" s="56" t="s">
        <v>9</v>
      </c>
      <c r="K88" s="32"/>
      <c r="M88" s="139" t="s">
        <v>161</v>
      </c>
      <c r="N88" s="139" t="s">
        <v>161</v>
      </c>
      <c r="O88" s="139" t="s">
        <v>161</v>
      </c>
      <c r="P88" s="139" t="s">
        <v>161</v>
      </c>
      <c r="Q88" s="139" t="s">
        <v>161</v>
      </c>
      <c r="R88" s="139" t="s">
        <v>161</v>
      </c>
      <c r="S88" s="139" t="s">
        <v>161</v>
      </c>
      <c r="T88" s="139" t="s">
        <v>161</v>
      </c>
      <c r="U88" s="139" t="s">
        <v>161</v>
      </c>
    </row>
    <row r="89" spans="1:21" ht="15" customHeight="1" x14ac:dyDescent="0.25">
      <c r="A89" s="230"/>
      <c r="B89" s="230"/>
      <c r="M89" s="67"/>
      <c r="N89" s="67"/>
    </row>
    <row r="90" spans="1:21" ht="15" customHeight="1" x14ac:dyDescent="0.25">
      <c r="A90" s="224" t="s">
        <v>727</v>
      </c>
      <c r="B90" s="224"/>
      <c r="M90" s="68"/>
      <c r="N90" s="68"/>
    </row>
    <row r="91" spans="1:21" x14ac:dyDescent="0.25">
      <c r="A91" s="207" t="s">
        <v>162</v>
      </c>
      <c r="B91" s="207"/>
      <c r="D91" s="87" t="s">
        <v>163</v>
      </c>
      <c r="E91" s="123" t="s">
        <v>8</v>
      </c>
      <c r="F91" s="5" t="s">
        <v>16</v>
      </c>
      <c r="G91" s="5" t="s">
        <v>9</v>
      </c>
      <c r="H91" s="56" t="s">
        <v>9</v>
      </c>
      <c r="K91" s="102"/>
      <c r="L91" s="135" t="s">
        <v>77</v>
      </c>
      <c r="M91" s="20">
        <v>14</v>
      </c>
      <c r="N91" s="20">
        <v>14</v>
      </c>
      <c r="O91" s="5">
        <v>14</v>
      </c>
      <c r="P91" s="5">
        <v>14</v>
      </c>
      <c r="Q91" s="5">
        <v>14</v>
      </c>
      <c r="R91" s="5">
        <v>14</v>
      </c>
      <c r="S91" s="5">
        <v>18</v>
      </c>
      <c r="T91" s="5">
        <v>18</v>
      </c>
      <c r="U91" s="5">
        <v>18</v>
      </c>
    </row>
    <row r="92" spans="1:21" ht="30" x14ac:dyDescent="0.25">
      <c r="A92" s="208" t="s">
        <v>164</v>
      </c>
      <c r="B92" s="208"/>
      <c r="D92" s="87" t="s">
        <v>165</v>
      </c>
      <c r="E92" s="123" t="s">
        <v>8</v>
      </c>
      <c r="F92" s="101" t="s">
        <v>166</v>
      </c>
      <c r="G92" s="57" t="s">
        <v>11</v>
      </c>
      <c r="H92" s="56" t="s">
        <v>9</v>
      </c>
      <c r="K92" s="49" t="s">
        <v>167</v>
      </c>
      <c r="M92" s="5">
        <f t="shared" ref="M92:U92" si="13">ROUND((M25/2*600+2.3*M20*9.81)/1000,0)+1</f>
        <v>21</v>
      </c>
      <c r="N92" s="5">
        <f t="shared" si="13"/>
        <v>24</v>
      </c>
      <c r="O92" s="5">
        <f t="shared" si="13"/>
        <v>30</v>
      </c>
      <c r="P92" s="5">
        <f t="shared" si="13"/>
        <v>31</v>
      </c>
      <c r="Q92" s="5">
        <f t="shared" si="13"/>
        <v>37</v>
      </c>
      <c r="R92" s="5">
        <f t="shared" si="13"/>
        <v>43</v>
      </c>
      <c r="S92" s="5">
        <f t="shared" si="13"/>
        <v>46</v>
      </c>
      <c r="T92" s="5">
        <f t="shared" si="13"/>
        <v>57</v>
      </c>
      <c r="U92" s="5">
        <f t="shared" si="13"/>
        <v>80</v>
      </c>
    </row>
    <row r="93" spans="1:21" x14ac:dyDescent="0.25">
      <c r="A93" s="207" t="s">
        <v>168</v>
      </c>
      <c r="B93" s="207"/>
      <c r="D93" s="87" t="s">
        <v>169</v>
      </c>
      <c r="E93" s="123" t="s">
        <v>8</v>
      </c>
      <c r="F93" s="5" t="s">
        <v>16</v>
      </c>
      <c r="G93" s="5" t="s">
        <v>9</v>
      </c>
      <c r="H93" s="56" t="s">
        <v>9</v>
      </c>
      <c r="K93" s="38"/>
      <c r="M93" s="5">
        <v>2</v>
      </c>
      <c r="N93" s="5">
        <v>2</v>
      </c>
      <c r="O93" s="5">
        <v>2</v>
      </c>
      <c r="P93" s="5">
        <v>2</v>
      </c>
      <c r="Q93" s="5">
        <v>2</v>
      </c>
      <c r="R93" s="5">
        <v>2</v>
      </c>
      <c r="S93" s="5">
        <v>2</v>
      </c>
      <c r="T93" s="5">
        <v>2</v>
      </c>
      <c r="U93" s="5">
        <v>2</v>
      </c>
    </row>
    <row r="94" spans="1:21" x14ac:dyDescent="0.25">
      <c r="A94" s="208" t="s">
        <v>170</v>
      </c>
      <c r="B94" s="208"/>
      <c r="C94" s="1"/>
      <c r="D94" s="87" t="s">
        <v>165</v>
      </c>
      <c r="E94" s="123" t="s">
        <v>8</v>
      </c>
      <c r="F94" s="99" t="s">
        <v>171</v>
      </c>
      <c r="G94" s="57" t="s">
        <v>11</v>
      </c>
      <c r="H94" s="56" t="s">
        <v>9</v>
      </c>
      <c r="K94" s="32"/>
      <c r="M94" s="5">
        <f t="shared" ref="M94:U94" si="14">ROUND(2.3*M20*9.81/1000*4/M93,0)+1</f>
        <v>29</v>
      </c>
      <c r="N94" s="5">
        <f t="shared" si="14"/>
        <v>46</v>
      </c>
      <c r="O94" s="5">
        <f t="shared" si="14"/>
        <v>59</v>
      </c>
      <c r="P94" s="5">
        <f t="shared" si="14"/>
        <v>62</v>
      </c>
      <c r="Q94" s="5">
        <f t="shared" si="14"/>
        <v>73</v>
      </c>
      <c r="R94" s="5">
        <f t="shared" si="14"/>
        <v>84</v>
      </c>
      <c r="S94" s="5">
        <f t="shared" si="14"/>
        <v>91</v>
      </c>
      <c r="T94" s="5">
        <f t="shared" si="14"/>
        <v>114</v>
      </c>
      <c r="U94" s="5">
        <f t="shared" si="14"/>
        <v>159</v>
      </c>
    </row>
    <row r="95" spans="1:21" s="1" customFormat="1" x14ac:dyDescent="0.25">
      <c r="A95" s="207" t="s">
        <v>172</v>
      </c>
      <c r="B95" s="207"/>
      <c r="D95" s="87" t="s">
        <v>25</v>
      </c>
      <c r="E95" s="123" t="s">
        <v>8</v>
      </c>
      <c r="F95" s="95" t="s">
        <v>16</v>
      </c>
      <c r="G95" s="95" t="s">
        <v>9</v>
      </c>
      <c r="H95" s="56" t="s">
        <v>9</v>
      </c>
      <c r="I95" s="2"/>
      <c r="J95" s="2"/>
      <c r="K95" s="32"/>
      <c r="L95" s="135" t="s">
        <v>77</v>
      </c>
      <c r="M95" s="5" t="s">
        <v>11</v>
      </c>
      <c r="N95" s="5" t="s">
        <v>16</v>
      </c>
      <c r="O95" s="5" t="s">
        <v>16</v>
      </c>
      <c r="P95" s="5" t="s">
        <v>16</v>
      </c>
      <c r="Q95" s="5" t="s">
        <v>16</v>
      </c>
      <c r="R95" s="5" t="s">
        <v>16</v>
      </c>
      <c r="S95" s="5" t="s">
        <v>16</v>
      </c>
      <c r="T95" s="5" t="s">
        <v>16</v>
      </c>
      <c r="U95" s="5" t="s">
        <v>16</v>
      </c>
    </row>
    <row r="96" spans="1:21" x14ac:dyDescent="0.25">
      <c r="A96" s="207" t="s">
        <v>173</v>
      </c>
      <c r="B96" s="207"/>
      <c r="D96" s="87" t="s">
        <v>169</v>
      </c>
      <c r="E96" s="123" t="s">
        <v>8</v>
      </c>
      <c r="F96" s="5" t="s">
        <v>16</v>
      </c>
      <c r="G96" s="5" t="s">
        <v>9</v>
      </c>
      <c r="H96" s="56" t="s">
        <v>9</v>
      </c>
      <c r="K96" s="32"/>
      <c r="M96" s="5">
        <v>2</v>
      </c>
      <c r="N96" s="5">
        <v>2</v>
      </c>
      <c r="O96" s="5">
        <v>2</v>
      </c>
      <c r="P96" s="5">
        <v>2</v>
      </c>
      <c r="Q96" s="5">
        <v>2</v>
      </c>
      <c r="R96" s="5">
        <v>2</v>
      </c>
      <c r="S96" s="5">
        <v>2</v>
      </c>
      <c r="T96" s="5">
        <v>2</v>
      </c>
      <c r="U96" s="5">
        <v>2</v>
      </c>
    </row>
    <row r="97" spans="1:21" x14ac:dyDescent="0.25">
      <c r="A97" s="207" t="s">
        <v>174</v>
      </c>
      <c r="B97" s="207"/>
      <c r="D97" s="87" t="s">
        <v>163</v>
      </c>
      <c r="E97" s="123" t="s">
        <v>8</v>
      </c>
      <c r="F97" s="5" t="s">
        <v>16</v>
      </c>
      <c r="G97" s="5" t="s">
        <v>9</v>
      </c>
      <c r="H97" s="56" t="s">
        <v>9</v>
      </c>
      <c r="K97" s="32"/>
      <c r="L97" s="135" t="s">
        <v>77</v>
      </c>
      <c r="M97" s="5">
        <v>4</v>
      </c>
      <c r="N97" s="5">
        <v>4</v>
      </c>
      <c r="O97" s="5">
        <v>4</v>
      </c>
      <c r="P97" s="5">
        <v>4</v>
      </c>
      <c r="Q97" s="5">
        <v>4</v>
      </c>
      <c r="R97" s="5">
        <v>4</v>
      </c>
      <c r="S97" s="5">
        <v>14</v>
      </c>
      <c r="T97" s="5">
        <v>14</v>
      </c>
      <c r="U97" s="5">
        <v>14</v>
      </c>
    </row>
    <row r="98" spans="1:21" s="1" customFormat="1" x14ac:dyDescent="0.25">
      <c r="A98" s="218" t="s">
        <v>175</v>
      </c>
      <c r="B98" s="218"/>
      <c r="D98" s="13" t="s">
        <v>165</v>
      </c>
      <c r="E98" s="123" t="s">
        <v>8</v>
      </c>
      <c r="F98" s="99" t="s">
        <v>176</v>
      </c>
      <c r="G98" s="97" t="s">
        <v>11</v>
      </c>
      <c r="H98" s="56" t="s">
        <v>9</v>
      </c>
      <c r="I98" s="2"/>
      <c r="J98" s="2"/>
      <c r="K98" s="32"/>
      <c r="L98" s="2"/>
      <c r="M98" s="5">
        <f t="shared" ref="M98:U98" si="15">IF(M95="no",ROUND((M25/2.5*600)/1000,0)+1,ROUND((M25/2.5*600+1.7*M20*9.81)/1000,0)+1)</f>
        <v>16</v>
      </c>
      <c r="N98" s="5">
        <f t="shared" si="15"/>
        <v>1</v>
      </c>
      <c r="O98" s="5">
        <f t="shared" si="15"/>
        <v>1</v>
      </c>
      <c r="P98" s="5">
        <f t="shared" si="15"/>
        <v>1</v>
      </c>
      <c r="Q98" s="5">
        <f t="shared" si="15"/>
        <v>1</v>
      </c>
      <c r="R98" s="5">
        <f t="shared" si="15"/>
        <v>1</v>
      </c>
      <c r="S98" s="5">
        <f t="shared" si="15"/>
        <v>1</v>
      </c>
      <c r="T98" s="5">
        <f t="shared" si="15"/>
        <v>1</v>
      </c>
      <c r="U98" s="5">
        <f t="shared" si="15"/>
        <v>1</v>
      </c>
    </row>
    <row r="99" spans="1:21" s="1" customFormat="1" x14ac:dyDescent="0.25">
      <c r="A99" s="218" t="s">
        <v>177</v>
      </c>
      <c r="B99" s="218"/>
      <c r="D99" s="40" t="s">
        <v>165</v>
      </c>
      <c r="E99" s="123" t="s">
        <v>8</v>
      </c>
      <c r="F99" s="99" t="s">
        <v>178</v>
      </c>
      <c r="G99" s="97" t="s">
        <v>11</v>
      </c>
      <c r="H99" s="56" t="s">
        <v>9</v>
      </c>
      <c r="I99" s="2"/>
      <c r="J99" s="2"/>
      <c r="K99" s="32"/>
      <c r="L99" s="2"/>
      <c r="M99" s="5">
        <f t="shared" ref="M99:U99" si="16">ROUND(1.7*M20*9.81/1000*4/M96,0)</f>
        <v>21</v>
      </c>
      <c r="N99" s="5">
        <f t="shared" si="16"/>
        <v>33</v>
      </c>
      <c r="O99" s="5">
        <f t="shared" si="16"/>
        <v>43</v>
      </c>
      <c r="P99" s="5">
        <f t="shared" si="16"/>
        <v>45</v>
      </c>
      <c r="Q99" s="5">
        <f t="shared" si="16"/>
        <v>53</v>
      </c>
      <c r="R99" s="5">
        <f t="shared" si="16"/>
        <v>62</v>
      </c>
      <c r="S99" s="5">
        <f t="shared" si="16"/>
        <v>67</v>
      </c>
      <c r="T99" s="5">
        <f t="shared" si="16"/>
        <v>83</v>
      </c>
      <c r="U99" s="5">
        <f t="shared" si="16"/>
        <v>117</v>
      </c>
    </row>
    <row r="100" spans="1:21" s="1" customFormat="1" x14ac:dyDescent="0.25">
      <c r="A100" s="218" t="s">
        <v>179</v>
      </c>
      <c r="B100" s="218"/>
      <c r="D100" s="87" t="s">
        <v>165</v>
      </c>
      <c r="E100" s="123" t="s">
        <v>8</v>
      </c>
      <c r="F100" s="99" t="s">
        <v>180</v>
      </c>
      <c r="G100" s="97" t="s">
        <v>11</v>
      </c>
      <c r="H100" s="93" t="s">
        <v>9</v>
      </c>
      <c r="I100" s="2"/>
      <c r="J100" s="2"/>
      <c r="K100" s="20"/>
      <c r="L100" s="2"/>
      <c r="M100" s="5">
        <v>20</v>
      </c>
      <c r="N100" s="5">
        <v>20</v>
      </c>
      <c r="O100" s="5">
        <v>20</v>
      </c>
      <c r="P100" s="5">
        <v>20</v>
      </c>
      <c r="Q100" s="5">
        <v>20</v>
      </c>
      <c r="R100" s="5">
        <v>20</v>
      </c>
      <c r="S100" s="5">
        <v>20</v>
      </c>
      <c r="T100" s="5">
        <v>20</v>
      </c>
      <c r="U100" s="5">
        <v>20</v>
      </c>
    </row>
    <row r="101" spans="1:21" s="1" customFormat="1" x14ac:dyDescent="0.25">
      <c r="A101" s="218" t="s">
        <v>181</v>
      </c>
      <c r="B101" s="218"/>
      <c r="C101" s="2"/>
      <c r="D101" s="87" t="s">
        <v>165</v>
      </c>
      <c r="E101" s="123" t="s">
        <v>8</v>
      </c>
      <c r="F101" s="99" t="s">
        <v>182</v>
      </c>
      <c r="G101" s="97" t="s">
        <v>11</v>
      </c>
      <c r="H101" s="93" t="s">
        <v>9</v>
      </c>
      <c r="I101" s="2"/>
      <c r="J101" s="2"/>
      <c r="K101" s="5"/>
      <c r="L101" s="2"/>
      <c r="M101" s="5">
        <f t="shared" ref="M101:U101" si="17">ROUND(1.7*M20*9.81/1000,0)+1</f>
        <v>12</v>
      </c>
      <c r="N101" s="5">
        <f t="shared" si="17"/>
        <v>18</v>
      </c>
      <c r="O101" s="5">
        <f t="shared" si="17"/>
        <v>22</v>
      </c>
      <c r="P101" s="5">
        <f t="shared" si="17"/>
        <v>24</v>
      </c>
      <c r="Q101" s="5">
        <f t="shared" si="17"/>
        <v>28</v>
      </c>
      <c r="R101" s="5">
        <f t="shared" si="17"/>
        <v>32</v>
      </c>
      <c r="S101" s="5">
        <f t="shared" si="17"/>
        <v>34</v>
      </c>
      <c r="T101" s="5">
        <f t="shared" si="17"/>
        <v>43</v>
      </c>
      <c r="U101" s="5">
        <f t="shared" si="17"/>
        <v>59</v>
      </c>
    </row>
    <row r="102" spans="1:21" x14ac:dyDescent="0.25">
      <c r="A102" s="218" t="s">
        <v>183</v>
      </c>
      <c r="B102" s="218"/>
      <c r="D102" s="87" t="s">
        <v>165</v>
      </c>
      <c r="E102" s="123" t="s">
        <v>8</v>
      </c>
      <c r="F102" s="99" t="s">
        <v>184</v>
      </c>
      <c r="G102" s="97" t="s">
        <v>11</v>
      </c>
      <c r="H102" s="93" t="s">
        <v>9</v>
      </c>
      <c r="K102" s="5"/>
      <c r="M102" s="5">
        <f t="shared" ref="M102:U102" si="18">ROUND(2.3*M20*9.81/1000,0)+1</f>
        <v>15</v>
      </c>
      <c r="N102" s="5">
        <f t="shared" si="18"/>
        <v>24</v>
      </c>
      <c r="O102" s="5">
        <f t="shared" si="18"/>
        <v>30</v>
      </c>
      <c r="P102" s="5">
        <f t="shared" si="18"/>
        <v>31</v>
      </c>
      <c r="Q102" s="5">
        <f t="shared" si="18"/>
        <v>37</v>
      </c>
      <c r="R102" s="5">
        <f t="shared" si="18"/>
        <v>43</v>
      </c>
      <c r="S102" s="5">
        <f t="shared" si="18"/>
        <v>46</v>
      </c>
      <c r="T102" s="5">
        <f t="shared" si="18"/>
        <v>57</v>
      </c>
      <c r="U102" s="5">
        <f t="shared" si="18"/>
        <v>80</v>
      </c>
    </row>
    <row r="103" spans="1:21" x14ac:dyDescent="0.25">
      <c r="A103" s="218" t="s">
        <v>185</v>
      </c>
      <c r="B103" s="218"/>
      <c r="D103" s="87" t="s">
        <v>165</v>
      </c>
      <c r="E103" s="123" t="s">
        <v>8</v>
      </c>
      <c r="F103" s="99" t="s">
        <v>186</v>
      </c>
      <c r="G103" s="97" t="s">
        <v>11</v>
      </c>
      <c r="H103" s="93" t="s">
        <v>9</v>
      </c>
      <c r="K103" s="5"/>
      <c r="M103" s="5">
        <f t="shared" ref="M103:U103" si="19">ROUND((2*9.81*M20*0.2*M35/2/2500/1000)+0.1,1)</f>
        <v>0.8</v>
      </c>
      <c r="N103" s="5">
        <f t="shared" si="19"/>
        <v>1.7</v>
      </c>
      <c r="O103" s="5">
        <f t="shared" si="19"/>
        <v>2.4</v>
      </c>
      <c r="P103" s="5">
        <f t="shared" si="19"/>
        <v>1.7</v>
      </c>
      <c r="Q103" s="5">
        <f t="shared" si="19"/>
        <v>2.1</v>
      </c>
      <c r="R103" s="5" t="e">
        <f t="shared" si="19"/>
        <v>#VALUE!</v>
      </c>
      <c r="S103" s="5">
        <f t="shared" si="19"/>
        <v>4.3</v>
      </c>
      <c r="T103" s="5">
        <f t="shared" si="19"/>
        <v>5.4</v>
      </c>
      <c r="U103" s="5">
        <f t="shared" si="19"/>
        <v>8.3000000000000007</v>
      </c>
    </row>
    <row r="104" spans="1:21" x14ac:dyDescent="0.25">
      <c r="A104" s="218" t="s">
        <v>187</v>
      </c>
      <c r="B104" s="218"/>
      <c r="D104" s="87" t="s">
        <v>165</v>
      </c>
      <c r="E104" s="123" t="s">
        <v>8</v>
      </c>
      <c r="F104" s="99" t="s">
        <v>188</v>
      </c>
      <c r="G104" s="97" t="s">
        <v>11</v>
      </c>
      <c r="H104" s="93" t="s">
        <v>9</v>
      </c>
      <c r="K104" s="5"/>
      <c r="M104" s="5">
        <f t="shared" ref="M104:U104" si="20">ROUND((2*9.81*M20*0.2*M34/2500/1000)+0.1,1)</f>
        <v>1.2</v>
      </c>
      <c r="N104" s="5">
        <f t="shared" si="20"/>
        <v>1.8</v>
      </c>
      <c r="O104" s="5">
        <f t="shared" si="20"/>
        <v>2.5</v>
      </c>
      <c r="P104" s="5">
        <f t="shared" si="20"/>
        <v>4.3</v>
      </c>
      <c r="Q104" s="5">
        <f t="shared" si="20"/>
        <v>5.4</v>
      </c>
      <c r="R104" s="5" t="e">
        <f t="shared" si="20"/>
        <v>#VALUE!</v>
      </c>
      <c r="S104" s="5">
        <f t="shared" si="20"/>
        <v>4.8</v>
      </c>
      <c r="T104" s="5">
        <f t="shared" si="20"/>
        <v>7.2</v>
      </c>
      <c r="U104" s="5">
        <f t="shared" si="20"/>
        <v>11.6</v>
      </c>
    </row>
    <row r="105" spans="1:21" x14ac:dyDescent="0.25">
      <c r="A105" s="218" t="s">
        <v>189</v>
      </c>
      <c r="B105" s="218"/>
      <c r="D105" s="87" t="s">
        <v>165</v>
      </c>
      <c r="E105" s="123" t="s">
        <v>8</v>
      </c>
      <c r="F105" s="99" t="s">
        <v>190</v>
      </c>
      <c r="G105" s="97" t="s">
        <v>11</v>
      </c>
      <c r="H105" s="93" t="s">
        <v>9</v>
      </c>
      <c r="K105" s="5"/>
      <c r="M105" s="5">
        <f t="shared" ref="M105:U105" si="21">ROUND(IF(M95="no",1.2*9.81*1.5*M20*30/2/2000/1000,2*9.81*1.5*M20*30/2/2000/1000)+0.1,1)</f>
        <v>0.2</v>
      </c>
      <c r="N105" s="5">
        <f t="shared" si="21"/>
        <v>0.2</v>
      </c>
      <c r="O105" s="5">
        <f t="shared" si="21"/>
        <v>0.3</v>
      </c>
      <c r="P105" s="5">
        <f t="shared" si="21"/>
        <v>0.3</v>
      </c>
      <c r="Q105" s="5">
        <f t="shared" si="21"/>
        <v>0.3</v>
      </c>
      <c r="R105" s="5">
        <f t="shared" si="21"/>
        <v>0.3</v>
      </c>
      <c r="S105" s="5">
        <f t="shared" si="21"/>
        <v>0.4</v>
      </c>
      <c r="T105" s="5">
        <f t="shared" si="21"/>
        <v>0.4</v>
      </c>
      <c r="U105" s="5">
        <f t="shared" si="21"/>
        <v>0.6</v>
      </c>
    </row>
    <row r="106" spans="1:21" ht="15" customHeight="1" x14ac:dyDescent="0.25">
      <c r="A106" s="218" t="s">
        <v>191</v>
      </c>
      <c r="B106" s="218"/>
      <c r="D106" s="87" t="s">
        <v>165</v>
      </c>
      <c r="E106" s="123" t="s">
        <v>8</v>
      </c>
      <c r="F106" s="99" t="s">
        <v>192</v>
      </c>
      <c r="G106" s="97" t="s">
        <v>11</v>
      </c>
      <c r="H106" s="93" t="s">
        <v>9</v>
      </c>
      <c r="K106" s="37"/>
      <c r="M106" s="5">
        <f t="shared" ref="M106:U106" si="22">ROUND(IF(M95="no",1.2*9.81*1.5*M20*41/2000/1000,2*9.81*1.5*M20*41/2000/1000)+0.1,1)</f>
        <v>0.5</v>
      </c>
      <c r="N106" s="5">
        <f t="shared" si="22"/>
        <v>0.5</v>
      </c>
      <c r="O106" s="5">
        <f t="shared" si="22"/>
        <v>0.6</v>
      </c>
      <c r="P106" s="5">
        <f t="shared" si="22"/>
        <v>0.6</v>
      </c>
      <c r="Q106" s="5">
        <f t="shared" si="22"/>
        <v>0.7</v>
      </c>
      <c r="R106" s="5">
        <f t="shared" si="22"/>
        <v>0.8</v>
      </c>
      <c r="S106" s="5">
        <f t="shared" si="22"/>
        <v>0.8</v>
      </c>
      <c r="T106" s="5">
        <f t="shared" si="22"/>
        <v>1</v>
      </c>
      <c r="U106" s="5">
        <f t="shared" si="22"/>
        <v>1.4</v>
      </c>
    </row>
    <row r="107" spans="1:21" ht="15" customHeight="1" x14ac:dyDescent="0.25">
      <c r="A107" s="230"/>
      <c r="B107" s="230"/>
      <c r="K107" s="67"/>
      <c r="L107" s="67"/>
      <c r="M107" s="67"/>
      <c r="N107" s="67"/>
    </row>
    <row r="108" spans="1:21" ht="15" customHeight="1" x14ac:dyDescent="0.25">
      <c r="A108" s="224" t="s">
        <v>728</v>
      </c>
      <c r="B108" s="224"/>
      <c r="H108" s="30"/>
      <c r="K108" s="72"/>
      <c r="L108" s="68"/>
    </row>
    <row r="109" spans="1:21" x14ac:dyDescent="0.25">
      <c r="A109" s="223" t="s">
        <v>193</v>
      </c>
      <c r="B109" s="223"/>
      <c r="D109" s="181" t="s">
        <v>25</v>
      </c>
      <c r="E109" s="121" t="s">
        <v>11</v>
      </c>
      <c r="F109" s="62" t="s">
        <v>31</v>
      </c>
      <c r="G109" s="97" t="s">
        <v>11</v>
      </c>
      <c r="H109" s="33" t="s">
        <v>9</v>
      </c>
      <c r="K109" s="20"/>
      <c r="M109" s="5" t="s">
        <v>11</v>
      </c>
      <c r="N109" s="5" t="s">
        <v>11</v>
      </c>
      <c r="O109" s="5" t="s">
        <v>11</v>
      </c>
      <c r="P109" s="5" t="s">
        <v>11</v>
      </c>
      <c r="Q109" s="5" t="s">
        <v>11</v>
      </c>
      <c r="R109" s="5" t="s">
        <v>11</v>
      </c>
      <c r="S109" s="5" t="s">
        <v>11</v>
      </c>
      <c r="T109" s="5" t="s">
        <v>11</v>
      </c>
      <c r="U109" s="5" t="s">
        <v>11</v>
      </c>
    </row>
    <row r="110" spans="1:21" x14ac:dyDescent="0.25">
      <c r="A110" s="223" t="s">
        <v>194</v>
      </c>
      <c r="B110" s="223"/>
      <c r="D110" s="181" t="s">
        <v>25</v>
      </c>
      <c r="E110" s="121" t="s">
        <v>11</v>
      </c>
      <c r="F110" s="62" t="s">
        <v>31</v>
      </c>
      <c r="G110" s="97" t="s">
        <v>11</v>
      </c>
      <c r="H110" s="33" t="s">
        <v>9</v>
      </c>
      <c r="K110" s="5"/>
      <c r="M110" s="5" t="s">
        <v>11</v>
      </c>
      <c r="N110" s="5" t="s">
        <v>11</v>
      </c>
      <c r="O110" s="5" t="s">
        <v>11</v>
      </c>
      <c r="P110" s="5" t="s">
        <v>11</v>
      </c>
      <c r="Q110" s="5" t="s">
        <v>11</v>
      </c>
      <c r="R110" s="5" t="s">
        <v>11</v>
      </c>
      <c r="S110" s="5" t="s">
        <v>11</v>
      </c>
      <c r="T110" s="5" t="s">
        <v>11</v>
      </c>
      <c r="U110" s="5" t="s">
        <v>11</v>
      </c>
    </row>
    <row r="111" spans="1:21" x14ac:dyDescent="0.25">
      <c r="A111" s="223" t="s">
        <v>195</v>
      </c>
      <c r="B111" s="223"/>
      <c r="D111" s="181" t="s">
        <v>25</v>
      </c>
      <c r="E111" s="121" t="s">
        <v>11</v>
      </c>
      <c r="F111" s="62" t="s">
        <v>31</v>
      </c>
      <c r="G111" s="97" t="s">
        <v>11</v>
      </c>
      <c r="H111" s="33" t="s">
        <v>9</v>
      </c>
      <c r="K111" s="5"/>
      <c r="M111" s="5" t="s">
        <v>11</v>
      </c>
      <c r="N111" s="5" t="s">
        <v>11</v>
      </c>
      <c r="O111" s="5" t="s">
        <v>11</v>
      </c>
      <c r="P111" s="5" t="s">
        <v>11</v>
      </c>
      <c r="Q111" s="5" t="s">
        <v>11</v>
      </c>
      <c r="R111" s="5" t="s">
        <v>11</v>
      </c>
      <c r="S111" s="5" t="s">
        <v>11</v>
      </c>
      <c r="T111" s="5" t="s">
        <v>11</v>
      </c>
      <c r="U111" s="5" t="s">
        <v>11</v>
      </c>
    </row>
    <row r="112" spans="1:21" x14ac:dyDescent="0.25">
      <c r="A112" s="223" t="s">
        <v>196</v>
      </c>
      <c r="B112" s="223"/>
      <c r="D112" s="181" t="s">
        <v>197</v>
      </c>
      <c r="E112" s="121" t="s">
        <v>11</v>
      </c>
      <c r="F112" s="62" t="s">
        <v>31</v>
      </c>
      <c r="G112" s="97" t="s">
        <v>11</v>
      </c>
      <c r="H112" s="33" t="s">
        <v>9</v>
      </c>
      <c r="K112" s="5"/>
      <c r="M112" s="5">
        <v>0</v>
      </c>
      <c r="N112" s="5">
        <v>0</v>
      </c>
      <c r="O112" s="5">
        <v>0</v>
      </c>
      <c r="P112" s="5">
        <v>0</v>
      </c>
      <c r="Q112" s="5">
        <v>0</v>
      </c>
      <c r="R112" s="5">
        <v>0</v>
      </c>
      <c r="S112" s="5">
        <v>0</v>
      </c>
      <c r="T112" s="5">
        <v>0</v>
      </c>
      <c r="U112" s="5">
        <v>0</v>
      </c>
    </row>
    <row r="113" spans="1:21" x14ac:dyDescent="0.25">
      <c r="A113" s="223" t="s">
        <v>198</v>
      </c>
      <c r="B113" s="223"/>
      <c r="D113" s="181" t="s">
        <v>25</v>
      </c>
      <c r="E113" s="121" t="s">
        <v>11</v>
      </c>
      <c r="F113" s="62" t="s">
        <v>31</v>
      </c>
      <c r="G113" s="97" t="s">
        <v>11</v>
      </c>
      <c r="H113" s="33" t="s">
        <v>9</v>
      </c>
      <c r="K113" s="5"/>
      <c r="M113" s="5" t="s">
        <v>16</v>
      </c>
      <c r="N113" s="5" t="s">
        <v>16</v>
      </c>
      <c r="O113" s="5" t="s">
        <v>16</v>
      </c>
      <c r="P113" s="5" t="s">
        <v>16</v>
      </c>
      <c r="Q113" s="5" t="s">
        <v>16</v>
      </c>
      <c r="R113" s="5" t="s">
        <v>16</v>
      </c>
      <c r="S113" s="5" t="s">
        <v>16</v>
      </c>
      <c r="T113" s="5" t="s">
        <v>16</v>
      </c>
      <c r="U113" s="5" t="s">
        <v>16</v>
      </c>
    </row>
    <row r="114" spans="1:21" x14ac:dyDescent="0.25">
      <c r="A114" s="223" t="s">
        <v>199</v>
      </c>
      <c r="B114" s="223"/>
      <c r="D114" s="182" t="s">
        <v>25</v>
      </c>
      <c r="E114" s="121" t="s">
        <v>11</v>
      </c>
      <c r="F114" s="62" t="s">
        <v>31</v>
      </c>
      <c r="G114" s="97" t="s">
        <v>11</v>
      </c>
      <c r="H114" s="19" t="s">
        <v>9</v>
      </c>
      <c r="K114" s="5"/>
      <c r="M114" s="5" t="s">
        <v>11</v>
      </c>
      <c r="N114" s="5" t="s">
        <v>11</v>
      </c>
      <c r="O114" s="5" t="s">
        <v>11</v>
      </c>
      <c r="P114" s="5" t="s">
        <v>11</v>
      </c>
      <c r="Q114" s="5" t="s">
        <v>11</v>
      </c>
      <c r="R114" s="5" t="s">
        <v>11</v>
      </c>
      <c r="S114" s="5" t="s">
        <v>11</v>
      </c>
      <c r="T114" s="5" t="s">
        <v>11</v>
      </c>
      <c r="U114" s="5" t="s">
        <v>11</v>
      </c>
    </row>
    <row r="115" spans="1:21" x14ac:dyDescent="0.25">
      <c r="A115" s="235" t="s">
        <v>738</v>
      </c>
      <c r="B115" s="235"/>
      <c r="D115" s="183" t="s">
        <v>25</v>
      </c>
      <c r="E115" s="121" t="s">
        <v>11</v>
      </c>
      <c r="F115" s="62" t="s">
        <v>31</v>
      </c>
      <c r="G115" s="97" t="s">
        <v>11</v>
      </c>
      <c r="H115" s="14" t="s">
        <v>9</v>
      </c>
      <c r="K115" s="5"/>
      <c r="M115" s="150" t="s">
        <v>734</v>
      </c>
      <c r="N115" s="150" t="s">
        <v>734</v>
      </c>
      <c r="O115" s="150" t="s">
        <v>734</v>
      </c>
      <c r="P115" s="150" t="s">
        <v>734</v>
      </c>
      <c r="Q115" s="150" t="s">
        <v>734</v>
      </c>
      <c r="R115" s="150" t="s">
        <v>734</v>
      </c>
      <c r="S115" s="150" t="s">
        <v>734</v>
      </c>
      <c r="T115" s="150" t="s">
        <v>734</v>
      </c>
      <c r="U115" s="150" t="s">
        <v>734</v>
      </c>
    </row>
    <row r="116" spans="1:21" x14ac:dyDescent="0.25">
      <c r="A116" s="235" t="s">
        <v>200</v>
      </c>
      <c r="B116" s="235"/>
      <c r="D116" s="183" t="s">
        <v>201</v>
      </c>
      <c r="E116" s="121" t="s">
        <v>11</v>
      </c>
      <c r="F116" s="62" t="s">
        <v>31</v>
      </c>
      <c r="G116" s="97" t="s">
        <v>11</v>
      </c>
      <c r="H116" s="14" t="s">
        <v>9</v>
      </c>
      <c r="K116" s="150" t="s">
        <v>743</v>
      </c>
      <c r="M116" s="150" t="s">
        <v>739</v>
      </c>
      <c r="N116" s="150" t="s">
        <v>739</v>
      </c>
      <c r="O116" s="150" t="s">
        <v>739</v>
      </c>
      <c r="P116" s="150" t="s">
        <v>739</v>
      </c>
      <c r="Q116" s="150" t="s">
        <v>739</v>
      </c>
      <c r="R116" s="150" t="s">
        <v>739</v>
      </c>
      <c r="S116" s="150" t="s">
        <v>739</v>
      </c>
      <c r="T116" s="150" t="s">
        <v>739</v>
      </c>
      <c r="U116" s="150" t="s">
        <v>739</v>
      </c>
    </row>
    <row r="117" spans="1:21" x14ac:dyDescent="0.25">
      <c r="A117" s="223" t="s">
        <v>202</v>
      </c>
      <c r="B117" s="223"/>
      <c r="D117" s="183" t="s">
        <v>197</v>
      </c>
      <c r="E117" s="121" t="s">
        <v>11</v>
      </c>
      <c r="F117" s="62" t="s">
        <v>31</v>
      </c>
      <c r="G117" s="97" t="s">
        <v>11</v>
      </c>
      <c r="H117" s="14" t="s">
        <v>9</v>
      </c>
      <c r="K117" s="5"/>
      <c r="M117" s="5">
        <v>0</v>
      </c>
      <c r="N117" s="5">
        <v>0</v>
      </c>
      <c r="O117" s="5">
        <v>0</v>
      </c>
      <c r="P117" s="5">
        <v>0</v>
      </c>
      <c r="Q117" s="5">
        <v>0</v>
      </c>
      <c r="R117" s="5">
        <v>0</v>
      </c>
      <c r="S117" s="5">
        <v>0</v>
      </c>
      <c r="T117" s="5">
        <v>0</v>
      </c>
      <c r="U117" s="5">
        <v>0</v>
      </c>
    </row>
    <row r="118" spans="1:21" ht="15" customHeight="1" x14ac:dyDescent="0.25">
      <c r="A118" s="235" t="s">
        <v>203</v>
      </c>
      <c r="B118" s="235"/>
      <c r="D118" s="183" t="s">
        <v>204</v>
      </c>
      <c r="E118" s="121" t="s">
        <v>11</v>
      </c>
      <c r="F118" s="62" t="s">
        <v>31</v>
      </c>
      <c r="G118" s="97" t="s">
        <v>11</v>
      </c>
      <c r="H118" s="14" t="s">
        <v>9</v>
      </c>
      <c r="K118" s="150"/>
      <c r="M118" s="150" t="s">
        <v>11</v>
      </c>
      <c r="N118" s="150" t="s">
        <v>11</v>
      </c>
      <c r="O118" s="150" t="s">
        <v>11</v>
      </c>
      <c r="P118" s="150" t="s">
        <v>11</v>
      </c>
      <c r="Q118" s="150" t="s">
        <v>11</v>
      </c>
      <c r="R118" s="150" t="s">
        <v>11</v>
      </c>
      <c r="S118" s="150" t="s">
        <v>11</v>
      </c>
      <c r="T118" s="150" t="s">
        <v>11</v>
      </c>
      <c r="U118" s="150" t="s">
        <v>11</v>
      </c>
    </row>
    <row r="119" spans="1:21" ht="15" customHeight="1" x14ac:dyDescent="0.25">
      <c r="A119" s="248" t="s">
        <v>736</v>
      </c>
      <c r="B119" s="249"/>
      <c r="D119" s="183"/>
      <c r="E119" s="121"/>
      <c r="F119" s="62"/>
      <c r="G119" s="97"/>
      <c r="H119" s="14"/>
      <c r="K119" s="150" t="s">
        <v>737</v>
      </c>
      <c r="M119" s="5"/>
      <c r="N119" s="5"/>
      <c r="O119" s="5"/>
      <c r="P119" s="5"/>
      <c r="Q119" s="5"/>
      <c r="R119" s="5"/>
      <c r="S119" s="5"/>
      <c r="T119" s="5"/>
      <c r="U119" s="5"/>
    </row>
    <row r="120" spans="1:21" ht="15" customHeight="1" x14ac:dyDescent="0.25">
      <c r="A120" s="236" t="s">
        <v>205</v>
      </c>
      <c r="B120" s="236"/>
      <c r="D120" s="183" t="s">
        <v>204</v>
      </c>
      <c r="E120" s="121" t="s">
        <v>11</v>
      </c>
      <c r="F120" s="62" t="s">
        <v>31</v>
      </c>
      <c r="G120" s="97" t="s">
        <v>11</v>
      </c>
      <c r="H120" s="14" t="s">
        <v>9</v>
      </c>
      <c r="K120" s="150" t="s">
        <v>742</v>
      </c>
      <c r="M120" s="150" t="s">
        <v>733</v>
      </c>
      <c r="N120" s="150" t="s">
        <v>733</v>
      </c>
      <c r="O120" s="150" t="s">
        <v>733</v>
      </c>
      <c r="P120" s="150" t="s">
        <v>733</v>
      </c>
      <c r="Q120" s="150" t="s">
        <v>733</v>
      </c>
      <c r="R120" s="150" t="s">
        <v>733</v>
      </c>
      <c r="S120" s="150" t="s">
        <v>733</v>
      </c>
      <c r="T120" s="150" t="s">
        <v>733</v>
      </c>
      <c r="U120" s="150" t="s">
        <v>733</v>
      </c>
    </row>
    <row r="121" spans="1:21" ht="15" customHeight="1" x14ac:dyDescent="0.25">
      <c r="A121" s="203"/>
      <c r="B121" s="203"/>
    </row>
    <row r="122" spans="1:21" ht="15" customHeight="1" x14ac:dyDescent="0.25">
      <c r="A122" s="209" t="s">
        <v>729</v>
      </c>
      <c r="B122" s="209"/>
    </row>
    <row r="123" spans="1:21" ht="15" customHeight="1" x14ac:dyDescent="0.25">
      <c r="A123" s="207" t="s">
        <v>206</v>
      </c>
      <c r="B123" s="207"/>
      <c r="D123" s="14" t="s">
        <v>204</v>
      </c>
      <c r="E123" s="121" t="s">
        <v>11</v>
      </c>
      <c r="F123" s="62" t="s">
        <v>31</v>
      </c>
      <c r="G123" s="97" t="s">
        <v>11</v>
      </c>
      <c r="H123" s="14" t="s">
        <v>9</v>
      </c>
      <c r="K123" s="5"/>
      <c r="M123" s="5"/>
      <c r="N123" s="5"/>
      <c r="O123" s="5"/>
      <c r="P123" s="5"/>
      <c r="Q123" s="5"/>
      <c r="R123" s="5"/>
      <c r="S123" s="5"/>
      <c r="T123" s="5"/>
      <c r="U123" s="5"/>
    </row>
    <row r="124" spans="1:21" ht="15" customHeight="1" x14ac:dyDescent="0.25">
      <c r="A124" s="223" t="s">
        <v>207</v>
      </c>
      <c r="B124" s="223"/>
      <c r="D124" s="15" t="s">
        <v>208</v>
      </c>
      <c r="E124" s="121" t="s">
        <v>11</v>
      </c>
      <c r="F124" s="98" t="s">
        <v>31</v>
      </c>
      <c r="G124" s="97" t="s">
        <v>11</v>
      </c>
      <c r="H124" s="14" t="s">
        <v>9</v>
      </c>
      <c r="K124" s="5"/>
      <c r="M124" s="5"/>
      <c r="N124" s="5"/>
      <c r="O124" s="5"/>
      <c r="P124" s="5"/>
      <c r="Q124" s="5"/>
      <c r="R124" s="5"/>
      <c r="S124" s="5"/>
      <c r="T124" s="5"/>
      <c r="U124" s="5"/>
    </row>
    <row r="125" spans="1:21" ht="15" customHeight="1" x14ac:dyDescent="0.25">
      <c r="A125" s="223" t="s">
        <v>209</v>
      </c>
      <c r="B125" s="223"/>
      <c r="D125" s="15" t="s">
        <v>25</v>
      </c>
      <c r="E125" s="121" t="s">
        <v>11</v>
      </c>
      <c r="F125" s="76" t="s">
        <v>210</v>
      </c>
      <c r="G125" s="76" t="s">
        <v>9</v>
      </c>
      <c r="H125" s="14" t="s">
        <v>9</v>
      </c>
      <c r="K125" s="5"/>
      <c r="M125" s="5" t="s">
        <v>11</v>
      </c>
      <c r="N125" s="5" t="s">
        <v>11</v>
      </c>
      <c r="O125" s="5" t="s">
        <v>11</v>
      </c>
      <c r="P125" s="5" t="s">
        <v>11</v>
      </c>
      <c r="Q125" s="5" t="s">
        <v>11</v>
      </c>
      <c r="R125" s="5" t="s">
        <v>11</v>
      </c>
      <c r="S125" s="5" t="s">
        <v>11</v>
      </c>
      <c r="T125" s="5" t="s">
        <v>11</v>
      </c>
      <c r="U125" s="5" t="s">
        <v>11</v>
      </c>
    </row>
    <row r="126" spans="1:21" ht="15" customHeight="1" x14ac:dyDescent="0.25">
      <c r="A126" s="218" t="s">
        <v>211</v>
      </c>
      <c r="B126" s="218"/>
      <c r="D126" s="15" t="s">
        <v>212</v>
      </c>
      <c r="E126" s="121" t="s">
        <v>11</v>
      </c>
      <c r="F126" s="76" t="s">
        <v>210</v>
      </c>
      <c r="G126" s="76" t="s">
        <v>9</v>
      </c>
      <c r="H126" s="14" t="s">
        <v>9</v>
      </c>
      <c r="K126" s="5"/>
      <c r="M126" s="5"/>
      <c r="N126" s="5"/>
      <c r="O126" s="5"/>
      <c r="P126" s="5"/>
      <c r="Q126" s="5"/>
      <c r="R126" s="5"/>
      <c r="S126" s="5"/>
      <c r="T126" s="5"/>
      <c r="U126" s="5"/>
    </row>
    <row r="127" spans="1:21" ht="15" customHeight="1" x14ac:dyDescent="0.25">
      <c r="A127" s="218" t="s">
        <v>213</v>
      </c>
      <c r="B127" s="218"/>
      <c r="D127" s="15" t="s">
        <v>212</v>
      </c>
      <c r="E127" s="121" t="s">
        <v>11</v>
      </c>
      <c r="F127" s="76" t="s">
        <v>210</v>
      </c>
      <c r="G127" s="76" t="s">
        <v>9</v>
      </c>
      <c r="H127" s="14" t="s">
        <v>9</v>
      </c>
      <c r="K127" s="5"/>
      <c r="M127" s="5"/>
      <c r="N127" s="5"/>
      <c r="O127" s="5"/>
      <c r="P127" s="5"/>
      <c r="Q127" s="5"/>
      <c r="R127" s="5"/>
      <c r="S127" s="5"/>
      <c r="T127" s="5"/>
      <c r="U127" s="5"/>
    </row>
    <row r="128" spans="1:21" ht="15" customHeight="1" x14ac:dyDescent="0.25">
      <c r="A128" s="218" t="s">
        <v>214</v>
      </c>
      <c r="B128" s="218"/>
      <c r="D128" s="15" t="s">
        <v>25</v>
      </c>
      <c r="E128" s="121" t="s">
        <v>11</v>
      </c>
      <c r="F128" s="76" t="s">
        <v>210</v>
      </c>
      <c r="G128" s="76" t="s">
        <v>9</v>
      </c>
      <c r="H128" s="14" t="s">
        <v>9</v>
      </c>
      <c r="K128" s="5"/>
      <c r="M128" s="5" t="s">
        <v>16</v>
      </c>
      <c r="N128" s="5" t="s">
        <v>16</v>
      </c>
      <c r="O128" s="5" t="s">
        <v>16</v>
      </c>
      <c r="P128" s="5" t="s">
        <v>16</v>
      </c>
      <c r="Q128" s="5" t="s">
        <v>16</v>
      </c>
      <c r="R128" s="5" t="s">
        <v>16</v>
      </c>
      <c r="S128" s="5" t="s">
        <v>16</v>
      </c>
      <c r="T128" s="5" t="s">
        <v>16</v>
      </c>
      <c r="U128" s="5" t="s">
        <v>16</v>
      </c>
    </row>
    <row r="129" spans="1:21" ht="15" customHeight="1" x14ac:dyDescent="0.25">
      <c r="A129" s="218" t="s">
        <v>215</v>
      </c>
      <c r="B129" s="218"/>
      <c r="D129" s="15" t="s">
        <v>25</v>
      </c>
      <c r="E129" s="121" t="s">
        <v>11</v>
      </c>
      <c r="F129" s="76" t="s">
        <v>210</v>
      </c>
      <c r="G129" s="76" t="s">
        <v>9</v>
      </c>
      <c r="H129" s="14" t="s">
        <v>9</v>
      </c>
      <c r="K129" s="5"/>
      <c r="M129" s="5" t="s">
        <v>16</v>
      </c>
      <c r="N129" s="5" t="s">
        <v>16</v>
      </c>
      <c r="O129" s="5" t="s">
        <v>16</v>
      </c>
      <c r="P129" s="5" t="s">
        <v>16</v>
      </c>
      <c r="Q129" s="5" t="s">
        <v>16</v>
      </c>
      <c r="R129" s="5" t="s">
        <v>16</v>
      </c>
      <c r="S129" s="5" t="s">
        <v>16</v>
      </c>
      <c r="T129" s="5" t="s">
        <v>16</v>
      </c>
      <c r="U129" s="5" t="s">
        <v>16</v>
      </c>
    </row>
    <row r="130" spans="1:21" ht="15" customHeight="1" x14ac:dyDescent="0.25">
      <c r="A130" s="223" t="s">
        <v>216</v>
      </c>
      <c r="B130" s="223"/>
      <c r="D130" s="15" t="s">
        <v>204</v>
      </c>
      <c r="E130" s="121" t="s">
        <v>11</v>
      </c>
      <c r="F130" s="76" t="s">
        <v>210</v>
      </c>
      <c r="G130" s="76" t="s">
        <v>9</v>
      </c>
      <c r="H130" s="14" t="s">
        <v>9</v>
      </c>
      <c r="K130" s="5"/>
      <c r="M130" s="5" t="s">
        <v>217</v>
      </c>
      <c r="N130" s="5" t="s">
        <v>217</v>
      </c>
      <c r="O130" s="5" t="s">
        <v>217</v>
      </c>
      <c r="P130" s="5" t="s">
        <v>217</v>
      </c>
      <c r="Q130" s="5" t="s">
        <v>217</v>
      </c>
      <c r="R130" s="5" t="s">
        <v>217</v>
      </c>
      <c r="S130" s="5" t="s">
        <v>217</v>
      </c>
      <c r="T130" s="5" t="s">
        <v>217</v>
      </c>
      <c r="U130" s="5" t="s">
        <v>217</v>
      </c>
    </row>
    <row r="131" spans="1:21" ht="15" customHeight="1" x14ac:dyDescent="0.25">
      <c r="A131" s="223" t="s">
        <v>218</v>
      </c>
      <c r="B131" s="223"/>
      <c r="D131" s="15" t="s">
        <v>25</v>
      </c>
      <c r="E131" s="121" t="s">
        <v>11</v>
      </c>
      <c r="F131" s="76" t="s">
        <v>210</v>
      </c>
      <c r="G131" s="76" t="s">
        <v>9</v>
      </c>
      <c r="H131" s="14" t="s">
        <v>9</v>
      </c>
      <c r="K131" s="5"/>
      <c r="M131" s="5" t="s">
        <v>16</v>
      </c>
      <c r="N131" s="5" t="s">
        <v>16</v>
      </c>
      <c r="O131" s="5" t="s">
        <v>16</v>
      </c>
      <c r="P131" s="5" t="s">
        <v>16</v>
      </c>
      <c r="Q131" s="5" t="s">
        <v>16</v>
      </c>
      <c r="R131" s="5" t="s">
        <v>16</v>
      </c>
      <c r="S131" s="5" t="s">
        <v>16</v>
      </c>
      <c r="T131" s="5" t="s">
        <v>16</v>
      </c>
      <c r="U131" s="5" t="s">
        <v>16</v>
      </c>
    </row>
    <row r="132" spans="1:21" ht="15" customHeight="1" x14ac:dyDescent="0.25">
      <c r="A132" s="223" t="s">
        <v>219</v>
      </c>
      <c r="B132" s="223"/>
      <c r="D132" s="15" t="s">
        <v>25</v>
      </c>
      <c r="E132" s="121" t="s">
        <v>11</v>
      </c>
      <c r="F132" s="76" t="s">
        <v>210</v>
      </c>
      <c r="G132" s="76" t="s">
        <v>9</v>
      </c>
      <c r="H132" s="14" t="s">
        <v>9</v>
      </c>
      <c r="K132" s="5"/>
      <c r="M132" s="5" t="s">
        <v>16</v>
      </c>
      <c r="N132" s="5" t="s">
        <v>16</v>
      </c>
      <c r="O132" s="5" t="s">
        <v>16</v>
      </c>
      <c r="P132" s="5" t="s">
        <v>16</v>
      </c>
      <c r="Q132" s="5" t="s">
        <v>16</v>
      </c>
      <c r="R132" s="5" t="s">
        <v>16</v>
      </c>
      <c r="S132" s="5" t="s">
        <v>16</v>
      </c>
      <c r="T132" s="5" t="s">
        <v>16</v>
      </c>
      <c r="U132" s="5" t="s">
        <v>16</v>
      </c>
    </row>
    <row r="133" spans="1:21" ht="15" customHeight="1" x14ac:dyDescent="0.25">
      <c r="A133" s="223" t="s">
        <v>220</v>
      </c>
      <c r="B133" s="223"/>
      <c r="D133" s="15" t="s">
        <v>204</v>
      </c>
      <c r="E133" s="121" t="s">
        <v>11</v>
      </c>
      <c r="F133" s="76" t="s">
        <v>210</v>
      </c>
      <c r="G133" s="76" t="s">
        <v>9</v>
      </c>
      <c r="H133" s="14" t="s">
        <v>9</v>
      </c>
      <c r="K133" s="5"/>
      <c r="M133" s="5"/>
      <c r="N133" s="5"/>
      <c r="O133" s="5"/>
      <c r="P133" s="5"/>
      <c r="Q133" s="5"/>
      <c r="R133" s="5"/>
      <c r="S133" s="5"/>
      <c r="T133" s="5"/>
      <c r="U133" s="5"/>
    </row>
    <row r="134" spans="1:21" ht="15" customHeight="1" x14ac:dyDescent="0.25">
      <c r="A134" s="223" t="s">
        <v>221</v>
      </c>
      <c r="B134" s="223"/>
      <c r="D134" s="15" t="s">
        <v>25</v>
      </c>
      <c r="E134" s="121" t="s">
        <v>11</v>
      </c>
      <c r="F134" s="76" t="s">
        <v>210</v>
      </c>
      <c r="G134" s="76" t="s">
        <v>9</v>
      </c>
      <c r="H134" s="14" t="s">
        <v>9</v>
      </c>
      <c r="K134" s="5"/>
      <c r="M134" s="5" t="s">
        <v>11</v>
      </c>
      <c r="N134" s="5" t="s">
        <v>11</v>
      </c>
      <c r="O134" s="5" t="s">
        <v>11</v>
      </c>
      <c r="P134" s="5" t="s">
        <v>11</v>
      </c>
      <c r="Q134" s="5" t="s">
        <v>11</v>
      </c>
      <c r="R134" s="5" t="s">
        <v>11</v>
      </c>
      <c r="S134" s="5" t="s">
        <v>11</v>
      </c>
      <c r="T134" s="5" t="s">
        <v>11</v>
      </c>
      <c r="U134" s="5" t="s">
        <v>11</v>
      </c>
    </row>
    <row r="135" spans="1:21" ht="15" customHeight="1" x14ac:dyDescent="0.25">
      <c r="A135" s="223" t="s">
        <v>222</v>
      </c>
      <c r="B135" s="223"/>
      <c r="D135" s="15" t="s">
        <v>25</v>
      </c>
      <c r="E135" s="121" t="s">
        <v>11</v>
      </c>
      <c r="F135" s="76" t="s">
        <v>210</v>
      </c>
      <c r="G135" s="76" t="s">
        <v>9</v>
      </c>
      <c r="H135" s="14" t="s">
        <v>9</v>
      </c>
      <c r="K135" s="5"/>
      <c r="M135" s="5" t="s">
        <v>16</v>
      </c>
      <c r="N135" s="5" t="s">
        <v>16</v>
      </c>
      <c r="O135" s="5" t="s">
        <v>16</v>
      </c>
      <c r="P135" s="5" t="s">
        <v>16</v>
      </c>
      <c r="Q135" s="5" t="s">
        <v>16</v>
      </c>
      <c r="R135" s="5" t="s">
        <v>16</v>
      </c>
      <c r="S135" s="5" t="s">
        <v>16</v>
      </c>
      <c r="T135" s="5" t="s">
        <v>16</v>
      </c>
      <c r="U135" s="5" t="s">
        <v>16</v>
      </c>
    </row>
    <row r="136" spans="1:21" ht="15" customHeight="1" x14ac:dyDescent="0.25">
      <c r="A136" s="223" t="s">
        <v>223</v>
      </c>
      <c r="B136" s="223"/>
      <c r="D136" s="15" t="s">
        <v>25</v>
      </c>
      <c r="E136" s="121" t="s">
        <v>11</v>
      </c>
      <c r="F136" s="76" t="s">
        <v>210</v>
      </c>
      <c r="G136" s="76" t="s">
        <v>9</v>
      </c>
      <c r="H136" s="14" t="s">
        <v>9</v>
      </c>
      <c r="K136" s="5"/>
      <c r="M136" s="5" t="s">
        <v>16</v>
      </c>
      <c r="N136" s="5" t="s">
        <v>16</v>
      </c>
      <c r="O136" s="5" t="s">
        <v>16</v>
      </c>
      <c r="P136" s="5" t="s">
        <v>16</v>
      </c>
      <c r="Q136" s="5" t="s">
        <v>16</v>
      </c>
      <c r="R136" s="5" t="s">
        <v>16</v>
      </c>
      <c r="S136" s="5" t="s">
        <v>16</v>
      </c>
      <c r="T136" s="5" t="s">
        <v>16</v>
      </c>
      <c r="U136" s="5" t="s">
        <v>16</v>
      </c>
    </row>
    <row r="137" spans="1:21" ht="15" customHeight="1" x14ac:dyDescent="0.25">
      <c r="A137" s="223" t="s">
        <v>224</v>
      </c>
      <c r="B137" s="223"/>
      <c r="D137" s="15" t="s">
        <v>25</v>
      </c>
      <c r="E137" s="121" t="s">
        <v>11</v>
      </c>
      <c r="F137" s="76" t="s">
        <v>210</v>
      </c>
      <c r="G137" s="76" t="s">
        <v>9</v>
      </c>
      <c r="H137" s="14" t="s">
        <v>9</v>
      </c>
      <c r="K137" s="5"/>
      <c r="M137" s="5" t="s">
        <v>16</v>
      </c>
      <c r="N137" s="5" t="s">
        <v>16</v>
      </c>
      <c r="O137" s="5" t="s">
        <v>16</v>
      </c>
      <c r="P137" s="5" t="s">
        <v>16</v>
      </c>
      <c r="Q137" s="5" t="s">
        <v>16</v>
      </c>
      <c r="R137" s="5" t="s">
        <v>16</v>
      </c>
      <c r="S137" s="5" t="s">
        <v>16</v>
      </c>
      <c r="T137" s="5" t="s">
        <v>16</v>
      </c>
      <c r="U137" s="5" t="s">
        <v>16</v>
      </c>
    </row>
    <row r="138" spans="1:21" ht="15" customHeight="1" x14ac:dyDescent="0.25">
      <c r="A138" s="223" t="s">
        <v>225</v>
      </c>
      <c r="B138" s="223"/>
      <c r="D138" s="15" t="s">
        <v>25</v>
      </c>
      <c r="E138" s="121" t="s">
        <v>11</v>
      </c>
      <c r="F138" s="76" t="s">
        <v>210</v>
      </c>
      <c r="G138" s="76" t="s">
        <v>9</v>
      </c>
      <c r="H138" s="5" t="s">
        <v>9</v>
      </c>
      <c r="K138" s="5"/>
      <c r="M138" s="10" t="s">
        <v>16</v>
      </c>
      <c r="N138" s="10" t="s">
        <v>16</v>
      </c>
      <c r="O138" s="10" t="s">
        <v>16</v>
      </c>
      <c r="P138" s="10" t="s">
        <v>16</v>
      </c>
      <c r="Q138" s="10" t="s">
        <v>16</v>
      </c>
      <c r="R138" s="10" t="s">
        <v>16</v>
      </c>
      <c r="S138" s="10" t="s">
        <v>16</v>
      </c>
      <c r="T138" s="10" t="s">
        <v>16</v>
      </c>
      <c r="U138" s="10" t="s">
        <v>16</v>
      </c>
    </row>
    <row r="139" spans="1:21" ht="15" customHeight="1" x14ac:dyDescent="0.25">
      <c r="A139" s="223" t="s">
        <v>226</v>
      </c>
      <c r="B139" s="223"/>
      <c r="D139" s="15" t="s">
        <v>25</v>
      </c>
      <c r="E139" s="121" t="s">
        <v>11</v>
      </c>
      <c r="F139" s="76" t="s">
        <v>210</v>
      </c>
      <c r="G139" s="76" t="s">
        <v>9</v>
      </c>
      <c r="H139" s="14" t="s">
        <v>9</v>
      </c>
      <c r="K139" s="5"/>
      <c r="M139" s="10" t="s">
        <v>16</v>
      </c>
      <c r="N139" s="10" t="s">
        <v>16</v>
      </c>
      <c r="O139" s="10" t="s">
        <v>16</v>
      </c>
      <c r="P139" s="10" t="s">
        <v>16</v>
      </c>
      <c r="Q139" s="10" t="s">
        <v>16</v>
      </c>
      <c r="R139" s="10" t="s">
        <v>16</v>
      </c>
      <c r="S139" s="10" t="s">
        <v>16</v>
      </c>
      <c r="T139" s="10" t="s">
        <v>16</v>
      </c>
      <c r="U139" s="10" t="s">
        <v>16</v>
      </c>
    </row>
    <row r="140" spans="1:21" ht="15" customHeight="1" x14ac:dyDescent="0.25">
      <c r="A140" s="223" t="s">
        <v>227</v>
      </c>
      <c r="B140" s="223"/>
      <c r="D140" s="15" t="s">
        <v>25</v>
      </c>
      <c r="E140" s="121" t="s">
        <v>11</v>
      </c>
      <c r="F140" s="76" t="s">
        <v>210</v>
      </c>
      <c r="G140" s="76" t="s">
        <v>9</v>
      </c>
      <c r="H140" s="14" t="s">
        <v>9</v>
      </c>
      <c r="K140" s="5"/>
      <c r="M140" s="5" t="s">
        <v>16</v>
      </c>
      <c r="N140" s="5" t="s">
        <v>16</v>
      </c>
      <c r="O140" s="5" t="s">
        <v>16</v>
      </c>
      <c r="P140" s="5" t="s">
        <v>16</v>
      </c>
      <c r="Q140" s="5" t="s">
        <v>16</v>
      </c>
      <c r="R140" s="5" t="s">
        <v>16</v>
      </c>
      <c r="S140" s="5" t="s">
        <v>16</v>
      </c>
      <c r="T140" s="5" t="s">
        <v>16</v>
      </c>
      <c r="U140" s="5" t="s">
        <v>16</v>
      </c>
    </row>
    <row r="141" spans="1:21" ht="15" customHeight="1" x14ac:dyDescent="0.25">
      <c r="A141" s="223" t="s">
        <v>228</v>
      </c>
      <c r="B141" s="223"/>
      <c r="D141" s="15" t="s">
        <v>25</v>
      </c>
      <c r="E141" s="121" t="s">
        <v>11</v>
      </c>
      <c r="F141" s="76" t="s">
        <v>210</v>
      </c>
      <c r="G141" s="76" t="s">
        <v>9</v>
      </c>
      <c r="H141" s="14" t="s">
        <v>9</v>
      </c>
      <c r="K141" s="5"/>
      <c r="M141" s="5" t="s">
        <v>16</v>
      </c>
      <c r="N141" s="5" t="s">
        <v>16</v>
      </c>
      <c r="O141" s="5" t="s">
        <v>16</v>
      </c>
      <c r="P141" s="5" t="s">
        <v>16</v>
      </c>
      <c r="Q141" s="5" t="s">
        <v>16</v>
      </c>
      <c r="R141" s="5" t="s">
        <v>16</v>
      </c>
      <c r="S141" s="5" t="s">
        <v>16</v>
      </c>
      <c r="T141" s="5" t="s">
        <v>16</v>
      </c>
      <c r="U141" s="5" t="s">
        <v>16</v>
      </c>
    </row>
    <row r="142" spans="1:21" ht="15" customHeight="1" x14ac:dyDescent="0.25">
      <c r="A142" s="223" t="s">
        <v>229</v>
      </c>
      <c r="B142" s="223"/>
      <c r="D142" s="15" t="s">
        <v>204</v>
      </c>
      <c r="E142" s="121" t="s">
        <v>11</v>
      </c>
      <c r="F142" s="76" t="s">
        <v>210</v>
      </c>
      <c r="G142" s="76" t="s">
        <v>9</v>
      </c>
      <c r="H142" s="14" t="s">
        <v>9</v>
      </c>
      <c r="K142" s="5"/>
      <c r="M142" s="5"/>
      <c r="N142" s="5"/>
      <c r="O142" s="5"/>
      <c r="P142" s="5"/>
      <c r="Q142" s="5"/>
      <c r="R142" s="5"/>
      <c r="S142" s="5"/>
      <c r="T142" s="5"/>
      <c r="U142" s="5"/>
    </row>
    <row r="143" spans="1:21" ht="15" customHeight="1" x14ac:dyDescent="0.25">
      <c r="A143" s="223" t="s">
        <v>230</v>
      </c>
      <c r="B143" s="223"/>
      <c r="D143" s="15" t="s">
        <v>204</v>
      </c>
      <c r="E143" s="121" t="s">
        <v>11</v>
      </c>
      <c r="F143" s="76" t="s">
        <v>210</v>
      </c>
      <c r="G143" s="76" t="s">
        <v>9</v>
      </c>
      <c r="H143" s="14" t="s">
        <v>9</v>
      </c>
      <c r="K143" s="5"/>
      <c r="M143" s="5"/>
      <c r="N143" s="5"/>
      <c r="O143" s="5"/>
      <c r="P143" s="5"/>
      <c r="Q143" s="5"/>
      <c r="R143" s="5"/>
      <c r="S143" s="5"/>
      <c r="T143" s="5"/>
      <c r="U143" s="5"/>
    </row>
    <row r="144" spans="1:21" ht="15" customHeight="1" x14ac:dyDescent="0.25">
      <c r="A144" s="230"/>
      <c r="B144" s="230"/>
    </row>
    <row r="145" spans="1:8" ht="15" hidden="1" customHeight="1" outlineLevel="1" x14ac:dyDescent="0.25">
      <c r="A145" s="224" t="s">
        <v>231</v>
      </c>
      <c r="B145" s="224"/>
    </row>
    <row r="146" spans="1:8" s="9" customFormat="1" ht="15" hidden="1" customHeight="1" outlineLevel="1" x14ac:dyDescent="0.25">
      <c r="A146" s="225" t="s">
        <v>232</v>
      </c>
      <c r="B146" s="225"/>
      <c r="D146" s="17" t="s">
        <v>9</v>
      </c>
      <c r="E146" s="63"/>
      <c r="H146" s="63"/>
    </row>
    <row r="147" spans="1:8" s="9" customFormat="1" ht="15" hidden="1" customHeight="1" outlineLevel="1" x14ac:dyDescent="0.25">
      <c r="A147" s="225" t="s">
        <v>233</v>
      </c>
      <c r="B147" s="225"/>
      <c r="D147" s="17" t="s">
        <v>234</v>
      </c>
      <c r="E147" s="63"/>
      <c r="H147" s="63"/>
    </row>
    <row r="148" spans="1:8" s="9" customFormat="1" ht="15" hidden="1" customHeight="1" outlineLevel="1" x14ac:dyDescent="0.25">
      <c r="A148" s="225" t="s">
        <v>235</v>
      </c>
      <c r="B148" s="225"/>
      <c r="D148" s="17" t="s">
        <v>9</v>
      </c>
      <c r="E148" s="63"/>
      <c r="H148" s="63"/>
    </row>
    <row r="149" spans="1:8" s="9" customFormat="1" ht="15" hidden="1" customHeight="1" outlineLevel="1" x14ac:dyDescent="0.25">
      <c r="A149" s="225" t="s">
        <v>236</v>
      </c>
      <c r="B149" s="225"/>
      <c r="D149" s="17" t="s">
        <v>9</v>
      </c>
      <c r="E149" s="63"/>
      <c r="H149" s="63"/>
    </row>
    <row r="150" spans="1:8" s="9" customFormat="1" ht="15" hidden="1" customHeight="1" outlineLevel="1" x14ac:dyDescent="0.25">
      <c r="A150" s="225" t="s">
        <v>237</v>
      </c>
      <c r="B150" s="225"/>
      <c r="D150" s="17" t="s">
        <v>234</v>
      </c>
      <c r="E150" s="63"/>
      <c r="H150" s="63"/>
    </row>
    <row r="151" spans="1:8" s="9" customFormat="1" ht="15" hidden="1" customHeight="1" outlineLevel="1" x14ac:dyDescent="0.25">
      <c r="A151" s="225" t="s">
        <v>238</v>
      </c>
      <c r="B151" s="225"/>
      <c r="D151" s="17" t="s">
        <v>9</v>
      </c>
      <c r="E151" s="63"/>
      <c r="H151" s="63"/>
    </row>
    <row r="152" spans="1:8" s="9" customFormat="1" ht="15" hidden="1" customHeight="1" outlineLevel="1" x14ac:dyDescent="0.25">
      <c r="A152" s="225" t="s">
        <v>239</v>
      </c>
      <c r="B152" s="225"/>
      <c r="D152" s="17" t="s">
        <v>9</v>
      </c>
      <c r="E152" s="63"/>
      <c r="H152" s="63"/>
    </row>
    <row r="153" spans="1:8" s="9" customFormat="1" ht="15" hidden="1" customHeight="1" outlineLevel="1" x14ac:dyDescent="0.25">
      <c r="A153" s="225" t="s">
        <v>240</v>
      </c>
      <c r="B153" s="225"/>
      <c r="D153" s="17" t="s">
        <v>9</v>
      </c>
      <c r="E153" s="63"/>
      <c r="H153" s="63"/>
    </row>
    <row r="154" spans="1:8" s="9" customFormat="1" ht="15" hidden="1" customHeight="1" outlineLevel="1" x14ac:dyDescent="0.25">
      <c r="A154" s="225" t="s">
        <v>241</v>
      </c>
      <c r="B154" s="225"/>
      <c r="D154" s="17" t="s">
        <v>9</v>
      </c>
      <c r="E154" s="63"/>
      <c r="H154" s="63"/>
    </row>
    <row r="155" spans="1:8" s="9" customFormat="1" ht="15" hidden="1" customHeight="1" outlineLevel="1" x14ac:dyDescent="0.25">
      <c r="A155" s="225" t="s">
        <v>242</v>
      </c>
      <c r="B155" s="225"/>
      <c r="D155" s="17" t="s">
        <v>9</v>
      </c>
      <c r="E155" s="63"/>
      <c r="H155" s="63"/>
    </row>
    <row r="156" spans="1:8" s="9" customFormat="1" ht="15" hidden="1" customHeight="1" outlineLevel="1" x14ac:dyDescent="0.25">
      <c r="A156" s="225" t="s">
        <v>243</v>
      </c>
      <c r="B156" s="225"/>
      <c r="D156" s="17" t="s">
        <v>9</v>
      </c>
      <c r="E156" s="63"/>
      <c r="H156" s="63"/>
    </row>
    <row r="157" spans="1:8" s="9" customFormat="1" ht="15" hidden="1" customHeight="1" outlineLevel="1" x14ac:dyDescent="0.25">
      <c r="A157" s="225" t="s">
        <v>244</v>
      </c>
      <c r="B157" s="225"/>
      <c r="D157" s="17" t="s">
        <v>9</v>
      </c>
      <c r="E157" s="63"/>
      <c r="H157" s="63"/>
    </row>
    <row r="158" spans="1:8" s="9" customFormat="1" ht="15" hidden="1" customHeight="1" outlineLevel="1" x14ac:dyDescent="0.25">
      <c r="A158" s="225" t="s">
        <v>245</v>
      </c>
      <c r="B158" s="225"/>
      <c r="D158" s="17" t="s">
        <v>9</v>
      </c>
      <c r="E158" s="63"/>
      <c r="H158" s="63"/>
    </row>
    <row r="159" spans="1:8" s="9" customFormat="1" ht="15" hidden="1" customHeight="1" outlineLevel="1" x14ac:dyDescent="0.25">
      <c r="A159" s="225" t="s">
        <v>246</v>
      </c>
      <c r="B159" s="225"/>
      <c r="D159" s="17" t="s">
        <v>9</v>
      </c>
      <c r="E159" s="63"/>
      <c r="H159" s="63"/>
    </row>
    <row r="160" spans="1:8" s="9" customFormat="1" ht="15" hidden="1" customHeight="1" outlineLevel="1" x14ac:dyDescent="0.25">
      <c r="A160" s="237" t="s">
        <v>247</v>
      </c>
      <c r="B160" s="237"/>
      <c r="D160" s="17" t="s">
        <v>9</v>
      </c>
      <c r="E160" s="63"/>
      <c r="H160" s="63"/>
    </row>
    <row r="161" spans="1:8" s="9" customFormat="1" ht="15" hidden="1" customHeight="1" outlineLevel="1" x14ac:dyDescent="0.25">
      <c r="A161" s="225" t="s">
        <v>248</v>
      </c>
      <c r="B161" s="225"/>
      <c r="D161" s="17" t="s">
        <v>9</v>
      </c>
      <c r="E161" s="63"/>
      <c r="H161" s="63"/>
    </row>
    <row r="162" spans="1:8" s="9" customFormat="1" ht="15" hidden="1" customHeight="1" outlineLevel="1" x14ac:dyDescent="0.25">
      <c r="A162" s="225" t="s">
        <v>249</v>
      </c>
      <c r="B162" s="225"/>
      <c r="D162" s="17" t="s">
        <v>9</v>
      </c>
      <c r="E162" s="63"/>
      <c r="H162" s="63"/>
    </row>
    <row r="163" spans="1:8" s="9" customFormat="1" ht="15" hidden="1" customHeight="1" outlineLevel="1" x14ac:dyDescent="0.25">
      <c r="A163" s="225" t="s">
        <v>250</v>
      </c>
      <c r="B163" s="225"/>
      <c r="D163" s="17" t="s">
        <v>9</v>
      </c>
      <c r="E163" s="63"/>
      <c r="H163" s="63"/>
    </row>
    <row r="164" spans="1:8" s="9" customFormat="1" ht="15" hidden="1" customHeight="1" outlineLevel="1" x14ac:dyDescent="0.25">
      <c r="A164" s="225" t="s">
        <v>251</v>
      </c>
      <c r="B164" s="225"/>
      <c r="D164" s="17" t="s">
        <v>9</v>
      </c>
      <c r="E164" s="63"/>
      <c r="H164" s="63"/>
    </row>
    <row r="165" spans="1:8" s="9" customFormat="1" ht="15" hidden="1" customHeight="1" outlineLevel="1" x14ac:dyDescent="0.25">
      <c r="A165" s="225" t="s">
        <v>252</v>
      </c>
      <c r="B165" s="225"/>
      <c r="D165" s="17" t="s">
        <v>9</v>
      </c>
      <c r="E165" s="63"/>
      <c r="H165" s="63"/>
    </row>
    <row r="166" spans="1:8" s="9" customFormat="1" ht="15" hidden="1" customHeight="1" outlineLevel="1" x14ac:dyDescent="0.25">
      <c r="A166" s="225" t="s">
        <v>253</v>
      </c>
      <c r="B166" s="225"/>
      <c r="D166" s="17" t="s">
        <v>9</v>
      </c>
      <c r="E166" s="63"/>
      <c r="H166" s="63"/>
    </row>
    <row r="167" spans="1:8" s="9" customFormat="1" ht="15" hidden="1" customHeight="1" outlineLevel="1" x14ac:dyDescent="0.25">
      <c r="A167" s="225" t="s">
        <v>254</v>
      </c>
      <c r="B167" s="225"/>
      <c r="D167" s="17" t="s">
        <v>9</v>
      </c>
      <c r="E167" s="63"/>
      <c r="H167" s="63"/>
    </row>
    <row r="168" spans="1:8" s="9" customFormat="1" ht="15" hidden="1" customHeight="1" outlineLevel="1" x14ac:dyDescent="0.25">
      <c r="A168" s="225" t="s">
        <v>255</v>
      </c>
      <c r="B168" s="225"/>
      <c r="D168" s="17" t="s">
        <v>9</v>
      </c>
      <c r="E168" s="63"/>
      <c r="H168" s="63"/>
    </row>
    <row r="169" spans="1:8" s="9" customFormat="1" ht="15" hidden="1" customHeight="1" outlineLevel="1" x14ac:dyDescent="0.25">
      <c r="A169" s="225" t="s">
        <v>256</v>
      </c>
      <c r="B169" s="225"/>
      <c r="D169" s="17" t="s">
        <v>9</v>
      </c>
      <c r="E169" s="63"/>
      <c r="H169" s="63"/>
    </row>
    <row r="170" spans="1:8" s="9" customFormat="1" ht="15" hidden="1" customHeight="1" outlineLevel="1" x14ac:dyDescent="0.25">
      <c r="A170" s="225" t="s">
        <v>257</v>
      </c>
      <c r="B170" s="225"/>
      <c r="D170" s="17" t="s">
        <v>9</v>
      </c>
      <c r="E170" s="63"/>
      <c r="H170" s="63"/>
    </row>
    <row r="171" spans="1:8" s="9" customFormat="1" ht="15" hidden="1" customHeight="1" outlineLevel="1" x14ac:dyDescent="0.25">
      <c r="A171" s="225" t="s">
        <v>258</v>
      </c>
      <c r="B171" s="225"/>
      <c r="D171" s="17" t="s">
        <v>9</v>
      </c>
      <c r="E171" s="63"/>
      <c r="H171" s="63"/>
    </row>
    <row r="172" spans="1:8" s="9" customFormat="1" ht="15" hidden="1" customHeight="1" outlineLevel="1" x14ac:dyDescent="0.25">
      <c r="A172" s="225" t="s">
        <v>259</v>
      </c>
      <c r="B172" s="225"/>
      <c r="D172" s="17" t="s">
        <v>9</v>
      </c>
      <c r="E172" s="63"/>
      <c r="H172" s="63"/>
    </row>
    <row r="173" spans="1:8" s="9" customFormat="1" ht="15" hidden="1" customHeight="1" outlineLevel="1" x14ac:dyDescent="0.25">
      <c r="A173" s="225" t="s">
        <v>260</v>
      </c>
      <c r="B173" s="225"/>
      <c r="D173" s="17" t="s">
        <v>9</v>
      </c>
      <c r="E173" s="63"/>
      <c r="H173" s="63"/>
    </row>
    <row r="174" spans="1:8" s="9" customFormat="1" ht="15" hidden="1" customHeight="1" outlineLevel="1" x14ac:dyDescent="0.25">
      <c r="A174" s="225" t="s">
        <v>261</v>
      </c>
      <c r="B174" s="225"/>
      <c r="D174" s="17" t="s">
        <v>9</v>
      </c>
      <c r="E174" s="63"/>
      <c r="H174" s="63"/>
    </row>
    <row r="175" spans="1:8" s="9" customFormat="1" ht="15" hidden="1" customHeight="1" outlineLevel="1" x14ac:dyDescent="0.25">
      <c r="A175" s="237" t="s">
        <v>262</v>
      </c>
      <c r="B175" s="237"/>
      <c r="D175" s="17" t="s">
        <v>9</v>
      </c>
      <c r="E175" s="63"/>
      <c r="H175" s="63"/>
    </row>
    <row r="176" spans="1:8" s="9" customFormat="1" ht="15" hidden="1" customHeight="1" outlineLevel="1" x14ac:dyDescent="0.25">
      <c r="A176" s="225" t="s">
        <v>263</v>
      </c>
      <c r="B176" s="225"/>
      <c r="D176" s="17" t="s">
        <v>9</v>
      </c>
      <c r="E176" s="63"/>
      <c r="H176" s="63"/>
    </row>
    <row r="177" spans="1:14" s="9" customFormat="1" ht="15" hidden="1" customHeight="1" outlineLevel="1" x14ac:dyDescent="0.25">
      <c r="A177" s="225" t="s">
        <v>264</v>
      </c>
      <c r="B177" s="225"/>
      <c r="D177" s="17" t="s">
        <v>9</v>
      </c>
      <c r="E177" s="63"/>
      <c r="H177" s="63"/>
    </row>
    <row r="178" spans="1:14" s="9" customFormat="1" ht="15" hidden="1" customHeight="1" outlineLevel="1" x14ac:dyDescent="0.25">
      <c r="A178" s="225" t="s">
        <v>265</v>
      </c>
      <c r="B178" s="225"/>
      <c r="D178" s="17" t="s">
        <v>9</v>
      </c>
      <c r="E178" s="63"/>
      <c r="H178" s="63"/>
    </row>
    <row r="179" spans="1:14" s="9" customFormat="1" ht="15" hidden="1" customHeight="1" outlineLevel="1" x14ac:dyDescent="0.25">
      <c r="A179" s="225" t="s">
        <v>266</v>
      </c>
      <c r="B179" s="225"/>
      <c r="D179" s="17" t="s">
        <v>9</v>
      </c>
      <c r="E179" s="63"/>
      <c r="H179" s="63"/>
    </row>
    <row r="180" spans="1:14" s="9" customFormat="1" ht="15" hidden="1" customHeight="1" outlineLevel="1" x14ac:dyDescent="0.25">
      <c r="A180" s="225" t="s">
        <v>267</v>
      </c>
      <c r="B180" s="225"/>
      <c r="D180" s="17" t="s">
        <v>9</v>
      </c>
      <c r="E180" s="63"/>
      <c r="H180" s="63"/>
      <c r="M180" s="9" t="str">
        <f>M50</f>
        <v>inside door jamb</v>
      </c>
      <c r="N180" s="9" t="str">
        <f>N50</f>
        <v>inside door jamb</v>
      </c>
    </row>
    <row r="181" spans="1:14" s="9" customFormat="1" ht="15" hidden="1" customHeight="1" outlineLevel="1" x14ac:dyDescent="0.25">
      <c r="A181" s="225" t="s">
        <v>268</v>
      </c>
      <c r="B181" s="225"/>
      <c r="D181" s="17" t="s">
        <v>9</v>
      </c>
      <c r="E181" s="63"/>
      <c r="H181" s="63"/>
    </row>
    <row r="182" spans="1:14" collapsed="1" x14ac:dyDescent="0.25">
      <c r="A182" s="4"/>
    </row>
    <row r="183" spans="1:14" hidden="1" outlineLevel="1" x14ac:dyDescent="0.25">
      <c r="A183" s="224" t="s">
        <v>269</v>
      </c>
      <c r="B183" s="224"/>
    </row>
    <row r="184" spans="1:14" hidden="1" outlineLevel="1" x14ac:dyDescent="0.25">
      <c r="A184" s="223" t="s">
        <v>270</v>
      </c>
      <c r="B184" s="223"/>
      <c r="D184" s="15" t="s">
        <v>9</v>
      </c>
    </row>
    <row r="185" spans="1:14" hidden="1" outlineLevel="1" x14ac:dyDescent="0.25">
      <c r="A185" s="223" t="s">
        <v>271</v>
      </c>
      <c r="B185" s="223"/>
      <c r="D185" s="15" t="s">
        <v>9</v>
      </c>
    </row>
    <row r="186" spans="1:14" ht="15" hidden="1" customHeight="1" outlineLevel="1" x14ac:dyDescent="0.25">
      <c r="A186" s="223" t="s">
        <v>272</v>
      </c>
      <c r="B186" s="223"/>
      <c r="D186" s="15" t="s">
        <v>9</v>
      </c>
    </row>
    <row r="187" spans="1:14" ht="15" hidden="1" customHeight="1" outlineLevel="1" x14ac:dyDescent="0.25">
      <c r="A187" s="223" t="s">
        <v>273</v>
      </c>
      <c r="B187" s="223"/>
      <c r="D187" s="15" t="s">
        <v>9</v>
      </c>
    </row>
    <row r="188" spans="1:14" ht="15" hidden="1" customHeight="1" outlineLevel="1" x14ac:dyDescent="0.25">
      <c r="A188" s="223" t="s">
        <v>274</v>
      </c>
      <c r="B188" s="223"/>
      <c r="D188" s="15" t="s">
        <v>9</v>
      </c>
    </row>
    <row r="189" spans="1:14" ht="15" hidden="1" customHeight="1" outlineLevel="1" x14ac:dyDescent="0.25">
      <c r="A189" s="223" t="s">
        <v>275</v>
      </c>
      <c r="B189" s="223"/>
      <c r="D189" s="15" t="s">
        <v>9</v>
      </c>
    </row>
    <row r="190" spans="1:14" ht="15" hidden="1" customHeight="1" outlineLevel="1" x14ac:dyDescent="0.25">
      <c r="A190" s="223" t="s">
        <v>276</v>
      </c>
      <c r="B190" s="223"/>
      <c r="D190" s="15" t="s">
        <v>9</v>
      </c>
    </row>
    <row r="191" spans="1:14" ht="15" hidden="1" customHeight="1" outlineLevel="1" x14ac:dyDescent="0.25">
      <c r="A191" s="223" t="s">
        <v>277</v>
      </c>
      <c r="B191" s="223"/>
      <c r="D191" s="15" t="s">
        <v>9</v>
      </c>
    </row>
    <row r="192" spans="1:14" ht="15" hidden="1" customHeight="1" outlineLevel="1" x14ac:dyDescent="0.25">
      <c r="A192" s="223" t="s">
        <v>278</v>
      </c>
      <c r="B192" s="223"/>
      <c r="D192" s="15" t="s">
        <v>9</v>
      </c>
    </row>
    <row r="193" spans="1:4" ht="15" hidden="1" customHeight="1" outlineLevel="1" x14ac:dyDescent="0.25">
      <c r="A193" s="223" t="s">
        <v>279</v>
      </c>
      <c r="B193" s="223"/>
      <c r="D193" s="15" t="s">
        <v>9</v>
      </c>
    </row>
    <row r="194" spans="1:4" ht="15" hidden="1" customHeight="1" outlineLevel="1" x14ac:dyDescent="0.25">
      <c r="A194" s="223" t="s">
        <v>280</v>
      </c>
      <c r="B194" s="223"/>
      <c r="D194" s="15" t="s">
        <v>9</v>
      </c>
    </row>
    <row r="195" spans="1:4" ht="15" hidden="1" customHeight="1" outlineLevel="1" x14ac:dyDescent="0.25">
      <c r="A195" s="223" t="s">
        <v>281</v>
      </c>
      <c r="B195" s="223"/>
      <c r="D195" s="15" t="s">
        <v>9</v>
      </c>
    </row>
    <row r="196" spans="1:4" ht="15" hidden="1" customHeight="1" outlineLevel="1" x14ac:dyDescent="0.25">
      <c r="A196" s="223" t="s">
        <v>282</v>
      </c>
      <c r="B196" s="223"/>
      <c r="D196" s="15" t="s">
        <v>9</v>
      </c>
    </row>
    <row r="197" spans="1:4" ht="15" hidden="1" customHeight="1" outlineLevel="1" x14ac:dyDescent="0.25">
      <c r="A197" s="223" t="s">
        <v>283</v>
      </c>
      <c r="B197" s="223"/>
      <c r="D197" s="15" t="s">
        <v>9</v>
      </c>
    </row>
    <row r="198" spans="1:4" ht="15" hidden="1" customHeight="1" outlineLevel="1" x14ac:dyDescent="0.25">
      <c r="A198" s="223" t="s">
        <v>284</v>
      </c>
      <c r="B198" s="223"/>
      <c r="D198" s="15" t="s">
        <v>9</v>
      </c>
    </row>
    <row r="199" spans="1:4" ht="15" hidden="1" customHeight="1" outlineLevel="1" x14ac:dyDescent="0.25">
      <c r="A199" s="223" t="s">
        <v>285</v>
      </c>
      <c r="B199" s="223"/>
      <c r="D199" s="15" t="s">
        <v>9</v>
      </c>
    </row>
    <row r="200" spans="1:4" ht="15" hidden="1" customHeight="1" outlineLevel="1" x14ac:dyDescent="0.25">
      <c r="A200" s="223" t="s">
        <v>268</v>
      </c>
      <c r="B200" s="223"/>
      <c r="D200" s="15" t="s">
        <v>9</v>
      </c>
    </row>
    <row r="201" spans="1:4" ht="15" customHeight="1" collapsed="1" x14ac:dyDescent="0.25">
      <c r="A201" s="230"/>
      <c r="B201" s="230"/>
    </row>
    <row r="202" spans="1:4" ht="15" hidden="1" customHeight="1" outlineLevel="1" x14ac:dyDescent="0.25">
      <c r="A202" s="224" t="s">
        <v>23</v>
      </c>
      <c r="B202" s="224"/>
    </row>
    <row r="203" spans="1:4" ht="15" hidden="1" customHeight="1" outlineLevel="1" x14ac:dyDescent="0.25">
      <c r="A203" s="223" t="s">
        <v>286</v>
      </c>
      <c r="B203" s="223"/>
      <c r="D203" s="15" t="s">
        <v>25</v>
      </c>
    </row>
    <row r="204" spans="1:4" ht="15" hidden="1" customHeight="1" outlineLevel="1" x14ac:dyDescent="0.25">
      <c r="A204" s="223" t="s">
        <v>287</v>
      </c>
      <c r="B204" s="223"/>
      <c r="D204" s="15" t="s">
        <v>25</v>
      </c>
    </row>
    <row r="205" spans="1:4" ht="15" hidden="1" customHeight="1" outlineLevel="1" x14ac:dyDescent="0.25">
      <c r="A205" s="223" t="s">
        <v>288</v>
      </c>
      <c r="B205" s="223"/>
      <c r="D205" s="15" t="s">
        <v>25</v>
      </c>
    </row>
    <row r="206" spans="1:4" ht="15" hidden="1" customHeight="1" outlineLevel="1" x14ac:dyDescent="0.25">
      <c r="A206" s="226" t="s">
        <v>289</v>
      </c>
      <c r="B206" s="226"/>
      <c r="D206" s="15" t="s">
        <v>25</v>
      </c>
    </row>
    <row r="207" spans="1:4" ht="15" hidden="1" customHeight="1" outlineLevel="1" x14ac:dyDescent="0.25">
      <c r="A207" s="226" t="s">
        <v>290</v>
      </c>
      <c r="B207" s="226"/>
      <c r="D207" s="15" t="s">
        <v>25</v>
      </c>
    </row>
    <row r="208" spans="1:4" ht="15" hidden="1" customHeight="1" outlineLevel="1" x14ac:dyDescent="0.25">
      <c r="A208" s="226" t="s">
        <v>291</v>
      </c>
      <c r="B208" s="226"/>
      <c r="D208" s="15" t="s">
        <v>25</v>
      </c>
    </row>
    <row r="209" spans="1:14" ht="15" hidden="1" customHeight="1" outlineLevel="1" x14ac:dyDescent="0.25">
      <c r="A209" s="226" t="s">
        <v>292</v>
      </c>
      <c r="B209" s="226"/>
      <c r="D209" s="15" t="s">
        <v>234</v>
      </c>
    </row>
    <row r="210" spans="1:14" ht="15" hidden="1" customHeight="1" outlineLevel="1" x14ac:dyDescent="0.25">
      <c r="A210" s="226" t="s">
        <v>293</v>
      </c>
      <c r="B210" s="226"/>
      <c r="D210" s="15" t="s">
        <v>234</v>
      </c>
    </row>
    <row r="211" spans="1:14" ht="15" hidden="1" customHeight="1" outlineLevel="1" x14ac:dyDescent="0.25">
      <c r="A211" s="226" t="s">
        <v>294</v>
      </c>
      <c r="B211" s="226"/>
      <c r="D211" s="15" t="s">
        <v>295</v>
      </c>
    </row>
    <row r="212" spans="1:14" ht="15" hidden="1" customHeight="1" outlineLevel="1" x14ac:dyDescent="0.25">
      <c r="A212" s="226" t="s">
        <v>296</v>
      </c>
      <c r="B212" s="226"/>
      <c r="D212" s="15" t="s">
        <v>25</v>
      </c>
    </row>
    <row r="213" spans="1:14" ht="15" hidden="1" customHeight="1" outlineLevel="1" x14ac:dyDescent="0.25">
      <c r="A213" s="226" t="s">
        <v>297</v>
      </c>
      <c r="B213" s="226"/>
      <c r="D213" s="15" t="s">
        <v>25</v>
      </c>
    </row>
    <row r="214" spans="1:14" ht="15" hidden="1" customHeight="1" outlineLevel="1" x14ac:dyDescent="0.25">
      <c r="A214" s="226" t="s">
        <v>298</v>
      </c>
      <c r="B214" s="226"/>
      <c r="D214" s="15" t="s">
        <v>25</v>
      </c>
    </row>
    <row r="215" spans="1:14" ht="15" hidden="1" customHeight="1" outlineLevel="1" x14ac:dyDescent="0.25">
      <c r="A215" s="226" t="s">
        <v>299</v>
      </c>
      <c r="B215" s="226"/>
      <c r="D215" s="15" t="s">
        <v>25</v>
      </c>
    </row>
    <row r="216" spans="1:14" ht="15" hidden="1" customHeight="1" outlineLevel="1" x14ac:dyDescent="0.25">
      <c r="A216" s="226" t="s">
        <v>300</v>
      </c>
      <c r="B216" s="226"/>
      <c r="D216" s="15" t="s">
        <v>25</v>
      </c>
    </row>
    <row r="217" spans="1:14" ht="15" hidden="1" customHeight="1" outlineLevel="1" x14ac:dyDescent="0.25">
      <c r="A217" s="226" t="s">
        <v>301</v>
      </c>
      <c r="B217" s="226"/>
      <c r="D217" s="15" t="s">
        <v>25</v>
      </c>
    </row>
    <row r="218" spans="1:14" ht="15" hidden="1" customHeight="1" outlineLevel="1" x14ac:dyDescent="0.25">
      <c r="A218" s="226" t="s">
        <v>302</v>
      </c>
      <c r="B218" s="226"/>
      <c r="D218" s="15" t="s">
        <v>25</v>
      </c>
    </row>
    <row r="219" spans="1:14" ht="15" hidden="1" customHeight="1" outlineLevel="1" x14ac:dyDescent="0.25">
      <c r="A219" s="226" t="s">
        <v>303</v>
      </c>
      <c r="B219" s="226"/>
      <c r="D219" s="15" t="s">
        <v>25</v>
      </c>
    </row>
    <row r="220" spans="1:14" ht="15" hidden="1" customHeight="1" outlineLevel="1" x14ac:dyDescent="0.25">
      <c r="A220" s="226" t="s">
        <v>304</v>
      </c>
      <c r="B220" s="226"/>
      <c r="D220" s="15" t="s">
        <v>25</v>
      </c>
    </row>
    <row r="221" spans="1:14" s="1" customFormat="1" ht="15" hidden="1" customHeight="1" outlineLevel="1" x14ac:dyDescent="0.25">
      <c r="A221" s="223" t="s">
        <v>305</v>
      </c>
      <c r="B221" s="223"/>
      <c r="C221" s="2"/>
      <c r="D221" s="15" t="s">
        <v>25</v>
      </c>
      <c r="E221" s="16"/>
      <c r="F221" s="2"/>
      <c r="G221" s="2"/>
      <c r="H221" s="16"/>
      <c r="I221" s="2"/>
      <c r="J221" s="2"/>
      <c r="K221" s="2"/>
      <c r="L221" s="2"/>
      <c r="M221" s="2"/>
      <c r="N221" s="2"/>
    </row>
    <row r="222" spans="1:14" s="1" customFormat="1" ht="15" hidden="1" customHeight="1" outlineLevel="1" x14ac:dyDescent="0.25">
      <c r="A222" s="223" t="s">
        <v>306</v>
      </c>
      <c r="B222" s="223"/>
      <c r="C222" s="2"/>
      <c r="D222" s="15" t="s">
        <v>25</v>
      </c>
      <c r="E222" s="16"/>
      <c r="F222" s="2"/>
      <c r="G222" s="2"/>
      <c r="H222" s="16"/>
      <c r="I222" s="2"/>
      <c r="J222" s="2"/>
      <c r="K222" s="2"/>
      <c r="L222" s="2"/>
      <c r="M222" s="2"/>
      <c r="N222" s="2"/>
    </row>
    <row r="223" spans="1:14" s="1" customFormat="1" ht="15" hidden="1" customHeight="1" outlineLevel="1" x14ac:dyDescent="0.25">
      <c r="A223" s="223" t="s">
        <v>307</v>
      </c>
      <c r="B223" s="223"/>
      <c r="C223" s="2"/>
      <c r="D223" s="15" t="s">
        <v>25</v>
      </c>
      <c r="E223" s="16"/>
      <c r="F223" s="2"/>
      <c r="G223" s="2"/>
      <c r="H223" s="16"/>
      <c r="I223" s="2"/>
      <c r="J223" s="2"/>
      <c r="K223" s="2"/>
      <c r="L223" s="2"/>
      <c r="M223" s="2"/>
      <c r="N223" s="2"/>
    </row>
    <row r="224" spans="1:14" hidden="1" outlineLevel="1" x14ac:dyDescent="0.25">
      <c r="A224" s="223" t="s">
        <v>308</v>
      </c>
      <c r="B224" s="223"/>
      <c r="D224" s="15" t="s">
        <v>25</v>
      </c>
    </row>
    <row r="225" spans="1:21" hidden="1" outlineLevel="1" x14ac:dyDescent="0.25">
      <c r="A225" s="223" t="s">
        <v>309</v>
      </c>
      <c r="B225" s="223"/>
      <c r="D225" s="15" t="s">
        <v>25</v>
      </c>
    </row>
    <row r="226" spans="1:21" hidden="1" outlineLevel="1" x14ac:dyDescent="0.25">
      <c r="A226" s="223" t="s">
        <v>310</v>
      </c>
      <c r="B226" s="223"/>
      <c r="D226" s="15" t="s">
        <v>25</v>
      </c>
    </row>
    <row r="227" spans="1:21" hidden="1" outlineLevel="1" x14ac:dyDescent="0.25">
      <c r="A227" s="226" t="s">
        <v>311</v>
      </c>
      <c r="B227" s="226"/>
      <c r="D227" s="15" t="s">
        <v>25</v>
      </c>
    </row>
    <row r="228" spans="1:21" hidden="1" outlineLevel="1" x14ac:dyDescent="0.25">
      <c r="A228" s="226" t="s">
        <v>312</v>
      </c>
      <c r="B228" s="226"/>
      <c r="D228" s="15" t="s">
        <v>25</v>
      </c>
    </row>
    <row r="229" spans="1:21" hidden="1" outlineLevel="1" x14ac:dyDescent="0.25">
      <c r="A229" s="223" t="s">
        <v>313</v>
      </c>
      <c r="B229" s="223"/>
      <c r="D229" s="15" t="s">
        <v>204</v>
      </c>
    </row>
    <row r="230" spans="1:21" collapsed="1" x14ac:dyDescent="0.25">
      <c r="A230" s="230"/>
      <c r="B230" s="230"/>
    </row>
    <row r="231" spans="1:21" x14ac:dyDescent="0.25">
      <c r="A231" s="224" t="s">
        <v>314</v>
      </c>
      <c r="B231" s="224"/>
    </row>
    <row r="232" spans="1:21" x14ac:dyDescent="0.25">
      <c r="A232" s="223" t="s">
        <v>315</v>
      </c>
      <c r="B232" s="223"/>
      <c r="D232" s="15" t="s">
        <v>316</v>
      </c>
      <c r="E232" s="15"/>
      <c r="F232" s="99" t="s">
        <v>317</v>
      </c>
      <c r="G232" s="95" t="s">
        <v>9</v>
      </c>
      <c r="H232" s="14" t="s">
        <v>9</v>
      </c>
      <c r="K232" s="5" t="s">
        <v>318</v>
      </c>
      <c r="M232" s="5"/>
      <c r="N232" s="5"/>
      <c r="O232" s="5"/>
      <c r="P232" s="5"/>
      <c r="Q232" s="5"/>
      <c r="R232" s="5"/>
      <c r="S232" s="5"/>
      <c r="T232" s="5"/>
      <c r="U232" s="5"/>
    </row>
    <row r="233" spans="1:21" x14ac:dyDescent="0.25">
      <c r="A233" s="239" t="s">
        <v>319</v>
      </c>
      <c r="B233" s="239"/>
      <c r="D233" s="40"/>
      <c r="E233" s="40"/>
      <c r="F233" s="77" t="s">
        <v>320</v>
      </c>
      <c r="G233" s="95" t="s">
        <v>9</v>
      </c>
      <c r="H233" s="35"/>
      <c r="K233" s="5" t="s">
        <v>321</v>
      </c>
      <c r="M233" s="5">
        <f t="shared" ref="M233:U233" si="23">IF(M45="2R",3,4)</f>
        <v>4</v>
      </c>
      <c r="N233" s="5">
        <f t="shared" si="23"/>
        <v>4</v>
      </c>
      <c r="O233" s="5">
        <f t="shared" si="23"/>
        <v>3</v>
      </c>
      <c r="P233" s="5">
        <f t="shared" si="23"/>
        <v>4</v>
      </c>
      <c r="Q233" s="5">
        <f t="shared" si="23"/>
        <v>4</v>
      </c>
      <c r="R233" s="5">
        <f t="shared" si="23"/>
        <v>4</v>
      </c>
      <c r="S233" s="5">
        <f t="shared" si="23"/>
        <v>4</v>
      </c>
      <c r="T233" s="5">
        <f t="shared" si="23"/>
        <v>4</v>
      </c>
      <c r="U233" s="5">
        <f t="shared" si="23"/>
        <v>4</v>
      </c>
    </row>
    <row r="234" spans="1:21" x14ac:dyDescent="0.25">
      <c r="A234" s="206"/>
      <c r="B234" s="206"/>
      <c r="D234" s="170"/>
      <c r="E234" s="170"/>
      <c r="F234" s="102" t="s">
        <v>322</v>
      </c>
      <c r="G234" s="171" t="s">
        <v>9</v>
      </c>
      <c r="H234" s="170"/>
      <c r="K234" s="14"/>
      <c r="M234" s="5">
        <f t="shared" ref="M234:U234" si="24">IF(M233=3,400,IF(M233=4,M35-400,"wrong data"))</f>
        <v>1000</v>
      </c>
      <c r="N234" s="5">
        <f t="shared" si="24"/>
        <v>1700</v>
      </c>
      <c r="O234" s="5">
        <f t="shared" si="24"/>
        <v>400</v>
      </c>
      <c r="P234" s="5">
        <f t="shared" si="24"/>
        <v>1100</v>
      </c>
      <c r="Q234" s="5">
        <f t="shared" si="24"/>
        <v>1200</v>
      </c>
      <c r="R234" s="5" t="e">
        <f t="shared" si="24"/>
        <v>#VALUE!</v>
      </c>
      <c r="S234" s="5">
        <f t="shared" si="24"/>
        <v>2300</v>
      </c>
      <c r="T234" s="5">
        <f t="shared" si="24"/>
        <v>2300</v>
      </c>
      <c r="U234" s="5">
        <f t="shared" si="24"/>
        <v>2600</v>
      </c>
    </row>
    <row r="235" spans="1:21" x14ac:dyDescent="0.25">
      <c r="A235" s="41" t="s">
        <v>323</v>
      </c>
      <c r="B235" s="41"/>
      <c r="G235" s="171"/>
      <c r="K235" s="14"/>
      <c r="M235" s="5"/>
      <c r="N235" s="5"/>
      <c r="O235" s="5"/>
      <c r="P235" s="5"/>
      <c r="Q235" s="5"/>
      <c r="R235" s="5"/>
      <c r="S235" s="5"/>
      <c r="T235" s="5"/>
      <c r="U235" s="5"/>
    </row>
    <row r="236" spans="1:21" x14ac:dyDescent="0.25">
      <c r="A236" s="240" t="s">
        <v>324</v>
      </c>
      <c r="B236" s="201"/>
      <c r="C236" s="129"/>
      <c r="D236" s="189"/>
      <c r="E236" s="189"/>
      <c r="F236" s="150" t="s">
        <v>325</v>
      </c>
      <c r="G236" s="190" t="s">
        <v>9</v>
      </c>
      <c r="H236" s="189"/>
      <c r="I236" s="129"/>
      <c r="J236" s="129"/>
      <c r="K236" s="189" t="s">
        <v>326</v>
      </c>
      <c r="L236" s="129"/>
      <c r="M236" s="150">
        <f>IF(M33="wide",40,44)</f>
        <v>44</v>
      </c>
      <c r="N236" s="150">
        <f t="shared" ref="N236:U236" si="25">IF(N34&gt;1600,40,44)</f>
        <v>44</v>
      </c>
      <c r="O236" s="150">
        <f t="shared" si="25"/>
        <v>44</v>
      </c>
      <c r="P236" s="150">
        <f t="shared" si="25"/>
        <v>40</v>
      </c>
      <c r="Q236" s="150">
        <f t="shared" si="25"/>
        <v>40</v>
      </c>
      <c r="R236" s="150">
        <f t="shared" si="25"/>
        <v>40</v>
      </c>
      <c r="S236" s="150">
        <f t="shared" si="25"/>
        <v>44</v>
      </c>
      <c r="T236" s="150">
        <f t="shared" si="25"/>
        <v>40</v>
      </c>
      <c r="U236" s="150">
        <f t="shared" si="25"/>
        <v>40</v>
      </c>
    </row>
    <row r="237" spans="1:21" x14ac:dyDescent="0.25">
      <c r="A237" s="240" t="s">
        <v>327</v>
      </c>
      <c r="B237" s="201"/>
      <c r="C237" s="129"/>
      <c r="D237" s="189"/>
      <c r="E237" s="189"/>
      <c r="F237" s="150" t="s">
        <v>328</v>
      </c>
      <c r="G237" s="190" t="s">
        <v>9</v>
      </c>
      <c r="H237" s="189"/>
      <c r="I237" s="129"/>
      <c r="J237" s="129"/>
      <c r="K237" s="189"/>
      <c r="L237" s="129"/>
      <c r="M237" s="150" t="str">
        <f>IF(M33="wide",1,"doesnt apply")</f>
        <v>doesnt apply</v>
      </c>
      <c r="N237" s="150">
        <f t="shared" ref="N237:U237" si="26">IF(N233=4,3,40)</f>
        <v>3</v>
      </c>
      <c r="O237" s="150">
        <f t="shared" si="26"/>
        <v>40</v>
      </c>
      <c r="P237" s="150">
        <f t="shared" si="26"/>
        <v>3</v>
      </c>
      <c r="Q237" s="150">
        <f t="shared" si="26"/>
        <v>3</v>
      </c>
      <c r="R237" s="150">
        <f t="shared" si="26"/>
        <v>3</v>
      </c>
      <c r="S237" s="150">
        <f t="shared" si="26"/>
        <v>3</v>
      </c>
      <c r="T237" s="150">
        <f t="shared" si="26"/>
        <v>3</v>
      </c>
      <c r="U237" s="150">
        <f t="shared" si="26"/>
        <v>3</v>
      </c>
    </row>
    <row r="238" spans="1:21" x14ac:dyDescent="0.25">
      <c r="A238" s="240" t="s">
        <v>329</v>
      </c>
      <c r="B238" s="201"/>
      <c r="C238" s="129"/>
      <c r="D238" s="189" t="s">
        <v>234</v>
      </c>
      <c r="E238" s="189"/>
      <c r="F238" s="150" t="s">
        <v>330</v>
      </c>
      <c r="G238" s="190"/>
      <c r="H238" s="189"/>
      <c r="I238" s="129"/>
      <c r="J238" s="129"/>
      <c r="K238" s="189"/>
      <c r="L238" s="129"/>
      <c r="M238" s="150">
        <f>M34-(M34-M41)/4</f>
        <v>1050</v>
      </c>
      <c r="N238" s="150">
        <f t="shared" ref="N238:U238" si="27">IF(N237=3,400,IF(N237=4,N35-400,"wrong data"))</f>
        <v>400</v>
      </c>
      <c r="O238" s="150" t="str">
        <f t="shared" si="27"/>
        <v>wrong data</v>
      </c>
      <c r="P238" s="150">
        <f t="shared" si="27"/>
        <v>400</v>
      </c>
      <c r="Q238" s="150">
        <f t="shared" si="27"/>
        <v>400</v>
      </c>
      <c r="R238" s="150">
        <f t="shared" si="27"/>
        <v>400</v>
      </c>
      <c r="S238" s="150">
        <f t="shared" si="27"/>
        <v>400</v>
      </c>
      <c r="T238" s="150">
        <f t="shared" si="27"/>
        <v>400</v>
      </c>
      <c r="U238" s="150">
        <f t="shared" si="27"/>
        <v>400</v>
      </c>
    </row>
    <row r="239" spans="1:21" x14ac:dyDescent="0.25">
      <c r="A239" s="187" t="s">
        <v>331</v>
      </c>
      <c r="B239" s="188"/>
      <c r="C239" s="129"/>
      <c r="D239" s="189"/>
      <c r="E239" s="189"/>
      <c r="F239" s="150" t="s">
        <v>332</v>
      </c>
      <c r="G239" s="190" t="s">
        <v>9</v>
      </c>
      <c r="H239" s="189"/>
      <c r="I239" s="129"/>
      <c r="J239" s="129"/>
      <c r="K239" s="189" t="s">
        <v>333</v>
      </c>
      <c r="L239" s="129"/>
      <c r="M239" s="150">
        <f>IF(M33="wide",40,44)</f>
        <v>44</v>
      </c>
      <c r="N239" s="150">
        <f t="shared" ref="N239:U239" si="28">IF(N33="wide",40,44)</f>
        <v>44</v>
      </c>
      <c r="O239" s="150">
        <f t="shared" si="28"/>
        <v>44</v>
      </c>
      <c r="P239" s="150">
        <f t="shared" si="28"/>
        <v>40</v>
      </c>
      <c r="Q239" s="150">
        <f t="shared" si="28"/>
        <v>40</v>
      </c>
      <c r="R239" s="150">
        <f t="shared" si="28"/>
        <v>44</v>
      </c>
      <c r="S239" s="150">
        <f t="shared" si="28"/>
        <v>44</v>
      </c>
      <c r="T239" s="150">
        <f t="shared" si="28"/>
        <v>44</v>
      </c>
      <c r="U239" s="150">
        <f t="shared" si="28"/>
        <v>44</v>
      </c>
    </row>
    <row r="240" spans="1:21" x14ac:dyDescent="0.25">
      <c r="A240" s="187" t="s">
        <v>334</v>
      </c>
      <c r="B240" s="188"/>
      <c r="C240" s="129"/>
      <c r="D240" s="189"/>
      <c r="E240" s="189"/>
      <c r="F240" s="150" t="s">
        <v>335</v>
      </c>
      <c r="G240" s="190"/>
      <c r="H240" s="189"/>
      <c r="I240" s="129"/>
      <c r="J240" s="129"/>
      <c r="K240" s="189"/>
      <c r="L240" s="129"/>
      <c r="M240" s="150" t="str">
        <f>IF(M33="wide",1,"doesnt apply")</f>
        <v>doesnt apply</v>
      </c>
      <c r="N240" s="150" t="str">
        <f t="shared" ref="N240:U240" si="29">IF(N33="wide",1,"doesnt apply")</f>
        <v>doesnt apply</v>
      </c>
      <c r="O240" s="150" t="str">
        <f t="shared" si="29"/>
        <v>doesnt apply</v>
      </c>
      <c r="P240" s="150">
        <f t="shared" si="29"/>
        <v>1</v>
      </c>
      <c r="Q240" s="150">
        <f t="shared" si="29"/>
        <v>1</v>
      </c>
      <c r="R240" s="150" t="str">
        <f t="shared" si="29"/>
        <v>doesnt apply</v>
      </c>
      <c r="S240" s="150" t="str">
        <f t="shared" si="29"/>
        <v>doesnt apply</v>
      </c>
      <c r="T240" s="150" t="str">
        <f t="shared" si="29"/>
        <v>doesnt apply</v>
      </c>
      <c r="U240" s="150" t="str">
        <f t="shared" si="29"/>
        <v>doesnt apply</v>
      </c>
    </row>
    <row r="241" spans="1:21" x14ac:dyDescent="0.25">
      <c r="A241" s="187" t="s">
        <v>336</v>
      </c>
      <c r="B241" s="188"/>
      <c r="C241" s="129"/>
      <c r="D241" s="189" t="s">
        <v>234</v>
      </c>
      <c r="E241" s="189"/>
      <c r="F241" s="150" t="s">
        <v>337</v>
      </c>
      <c r="G241" s="190"/>
      <c r="H241" s="189"/>
      <c r="I241" s="129"/>
      <c r="J241" s="129"/>
      <c r="K241" s="189"/>
      <c r="L241" s="129"/>
      <c r="M241" s="150">
        <f>(M34-M41)/4</f>
        <v>50</v>
      </c>
      <c r="N241" s="150">
        <f t="shared" ref="N241:U241" si="30">(N34-N41)/4</f>
        <v>50</v>
      </c>
      <c r="O241" s="150">
        <f t="shared" si="30"/>
        <v>25</v>
      </c>
      <c r="P241" s="150">
        <f t="shared" si="30"/>
        <v>225</v>
      </c>
      <c r="Q241" s="150">
        <f t="shared" si="30"/>
        <v>225</v>
      </c>
      <c r="R241" s="150" t="e">
        <f t="shared" si="30"/>
        <v>#VALUE!</v>
      </c>
      <c r="S241" s="150">
        <f t="shared" si="30"/>
        <v>50</v>
      </c>
      <c r="T241" s="150">
        <f t="shared" si="30"/>
        <v>75</v>
      </c>
      <c r="U241" s="150">
        <f t="shared" si="30"/>
        <v>75</v>
      </c>
    </row>
    <row r="242" spans="1:21" x14ac:dyDescent="0.25">
      <c r="A242" s="240" t="s">
        <v>272</v>
      </c>
      <c r="B242" s="201"/>
      <c r="C242" s="129"/>
      <c r="D242" s="191"/>
      <c r="E242" s="191"/>
      <c r="F242" s="129"/>
      <c r="G242" s="192"/>
      <c r="H242" s="191"/>
      <c r="I242" s="129"/>
      <c r="J242" s="129"/>
      <c r="K242" s="191"/>
      <c r="L242" s="129"/>
      <c r="M242" s="129"/>
      <c r="N242" s="129"/>
      <c r="O242" s="129"/>
      <c r="P242" s="129"/>
      <c r="Q242" s="129"/>
      <c r="R242" s="129"/>
      <c r="S242" s="129"/>
      <c r="T242" s="129"/>
      <c r="U242" s="129"/>
    </row>
    <row r="243" spans="1:21" x14ac:dyDescent="0.25">
      <c r="A243" s="187" t="s">
        <v>338</v>
      </c>
      <c r="B243" s="188"/>
      <c r="C243" s="129"/>
      <c r="D243" s="189"/>
      <c r="E243" s="189"/>
      <c r="F243" s="150" t="s">
        <v>339</v>
      </c>
      <c r="G243" s="190" t="s">
        <v>9</v>
      </c>
      <c r="H243" s="189"/>
      <c r="I243" s="129"/>
      <c r="J243" s="129"/>
      <c r="K243" s="189" t="s">
        <v>340</v>
      </c>
      <c r="L243" s="129"/>
      <c r="M243" s="150">
        <f>IF(M233=4,44,8)</f>
        <v>44</v>
      </c>
      <c r="N243" s="193">
        <f t="shared" ref="N243:U243" si="31">IF(N233=4,44,8)</f>
        <v>44</v>
      </c>
      <c r="O243" s="150">
        <f t="shared" si="31"/>
        <v>8</v>
      </c>
      <c r="P243" s="150">
        <f t="shared" si="31"/>
        <v>44</v>
      </c>
      <c r="Q243" s="150">
        <f t="shared" si="31"/>
        <v>44</v>
      </c>
      <c r="R243" s="150">
        <f t="shared" si="31"/>
        <v>44</v>
      </c>
      <c r="S243" s="150">
        <f t="shared" si="31"/>
        <v>44</v>
      </c>
      <c r="T243" s="150">
        <f t="shared" si="31"/>
        <v>44</v>
      </c>
      <c r="U243" s="150">
        <f t="shared" si="31"/>
        <v>44</v>
      </c>
    </row>
    <row r="244" spans="1:21" x14ac:dyDescent="0.25">
      <c r="A244" s="187" t="s">
        <v>341</v>
      </c>
      <c r="B244" s="188"/>
      <c r="C244" s="129"/>
      <c r="D244" s="189"/>
      <c r="E244" s="189"/>
      <c r="F244" s="150" t="s">
        <v>342</v>
      </c>
      <c r="G244" s="190" t="s">
        <v>9</v>
      </c>
      <c r="H244" s="189"/>
      <c r="I244" s="129"/>
      <c r="J244" s="129"/>
      <c r="K244" s="189" t="s">
        <v>343</v>
      </c>
      <c r="L244" s="129"/>
      <c r="M244" s="150">
        <f>IF(M234=4,44,40)</f>
        <v>40</v>
      </c>
      <c r="N244" s="193">
        <f t="shared" ref="N244:U244" si="32">IF(N234=4,44,40)</f>
        <v>40</v>
      </c>
      <c r="O244" s="150">
        <f t="shared" si="32"/>
        <v>40</v>
      </c>
      <c r="P244" s="150">
        <f t="shared" si="32"/>
        <v>40</v>
      </c>
      <c r="Q244" s="150">
        <f t="shared" si="32"/>
        <v>40</v>
      </c>
      <c r="R244" s="150" t="e">
        <f t="shared" si="32"/>
        <v>#VALUE!</v>
      </c>
      <c r="S244" s="150">
        <f t="shared" si="32"/>
        <v>40</v>
      </c>
      <c r="T244" s="150">
        <f t="shared" si="32"/>
        <v>40</v>
      </c>
      <c r="U244" s="150">
        <f t="shared" si="32"/>
        <v>40</v>
      </c>
    </row>
    <row r="245" spans="1:21" x14ac:dyDescent="0.25">
      <c r="A245" s="207"/>
      <c r="B245" s="207"/>
      <c r="I245" s="16"/>
      <c r="J245" s="16"/>
      <c r="L245" s="16"/>
      <c r="M245" s="16"/>
      <c r="N245" s="16"/>
    </row>
    <row r="246" spans="1:21" x14ac:dyDescent="0.25">
      <c r="A246" s="207"/>
      <c r="B246" s="207"/>
      <c r="I246" s="16"/>
      <c r="J246" s="16"/>
      <c r="L246" s="16"/>
      <c r="M246" s="16"/>
      <c r="N246" s="16"/>
    </row>
    <row r="247" spans="1:21" x14ac:dyDescent="0.25">
      <c r="A247" s="41"/>
      <c r="B247" s="41"/>
      <c r="I247" s="16"/>
      <c r="J247" s="16"/>
      <c r="L247" s="16"/>
      <c r="M247" s="16"/>
      <c r="N247" s="16"/>
    </row>
    <row r="248" spans="1:21" x14ac:dyDescent="0.25">
      <c r="A248" s="209" t="s">
        <v>344</v>
      </c>
      <c r="B248" s="209"/>
    </row>
    <row r="249" spans="1:21" x14ac:dyDescent="0.25">
      <c r="A249" s="238" t="s">
        <v>345</v>
      </c>
      <c r="B249" s="238"/>
      <c r="D249" s="33" t="s">
        <v>346</v>
      </c>
      <c r="E249" s="121" t="s">
        <v>11</v>
      </c>
      <c r="F249" s="32"/>
      <c r="G249" s="32" t="s">
        <v>9</v>
      </c>
      <c r="H249" s="33" t="s">
        <v>9</v>
      </c>
      <c r="K249" s="165" t="s">
        <v>750</v>
      </c>
      <c r="M249" s="3"/>
      <c r="N249" s="3"/>
      <c r="O249" s="5"/>
      <c r="P249" s="5"/>
      <c r="Q249" s="5"/>
      <c r="R249" s="5"/>
      <c r="S249" s="5"/>
      <c r="T249" s="5"/>
      <c r="U249" s="5"/>
    </row>
    <row r="250" spans="1:21" x14ac:dyDescent="0.25">
      <c r="A250" s="238" t="s">
        <v>347</v>
      </c>
      <c r="B250" s="238"/>
      <c r="D250" s="33" t="s">
        <v>346</v>
      </c>
      <c r="E250" s="121" t="s">
        <v>11</v>
      </c>
      <c r="F250" s="32"/>
      <c r="G250" s="32" t="s">
        <v>9</v>
      </c>
      <c r="H250" s="33" t="s">
        <v>9</v>
      </c>
      <c r="K250" s="194" t="s">
        <v>751</v>
      </c>
      <c r="M250" s="3"/>
      <c r="N250" s="3"/>
      <c r="O250" s="5"/>
      <c r="P250" s="5"/>
      <c r="Q250" s="5"/>
      <c r="R250" s="5"/>
      <c r="S250" s="5"/>
      <c r="T250" s="5"/>
      <c r="U250" s="5"/>
    </row>
    <row r="251" spans="1:21" x14ac:dyDescent="0.25">
      <c r="M251" s="66"/>
      <c r="N251" s="66"/>
    </row>
    <row r="252" spans="1:21" x14ac:dyDescent="0.25">
      <c r="A252" s="209" t="s">
        <v>348</v>
      </c>
      <c r="B252" s="209"/>
      <c r="M252" s="66"/>
      <c r="N252" s="66"/>
    </row>
    <row r="253" spans="1:21" x14ac:dyDescent="0.25">
      <c r="A253" s="11"/>
      <c r="B253" s="28"/>
      <c r="M253" s="66"/>
      <c r="N253" s="66"/>
    </row>
    <row r="254" spans="1:21" ht="16.5" x14ac:dyDescent="0.3">
      <c r="A254" s="28" t="s">
        <v>349</v>
      </c>
      <c r="B254" s="90"/>
      <c r="H254" s="2"/>
      <c r="K254" s="116"/>
      <c r="N254" s="66"/>
    </row>
    <row r="255" spans="1:21" x14ac:dyDescent="0.25">
      <c r="A255" s="52" t="s">
        <v>350</v>
      </c>
      <c r="B255" s="91"/>
      <c r="D255" s="15" t="s">
        <v>351</v>
      </c>
      <c r="E255" s="121" t="s">
        <v>11</v>
      </c>
      <c r="F255" s="149" t="s">
        <v>352</v>
      </c>
      <c r="G255" s="58" t="s">
        <v>9</v>
      </c>
      <c r="H255" s="14" t="s">
        <v>9</v>
      </c>
      <c r="I255" s="30"/>
      <c r="K255" s="5" t="s">
        <v>353</v>
      </c>
      <c r="M255" s="5">
        <v>24000</v>
      </c>
      <c r="N255" s="5">
        <v>24000</v>
      </c>
      <c r="O255" s="5">
        <v>24000</v>
      </c>
      <c r="P255" s="5">
        <v>24000</v>
      </c>
      <c r="Q255" s="5">
        <v>24000</v>
      </c>
      <c r="R255" s="5">
        <v>24000</v>
      </c>
      <c r="S255" s="5"/>
      <c r="T255" s="5"/>
      <c r="U255" s="5"/>
    </row>
    <row r="256" spans="1:21" x14ac:dyDescent="0.25">
      <c r="A256" s="85" t="s">
        <v>354</v>
      </c>
      <c r="B256" s="89"/>
      <c r="D256" s="86" t="s">
        <v>351</v>
      </c>
      <c r="E256" s="121" t="s">
        <v>11</v>
      </c>
      <c r="F256" s="149" t="s">
        <v>355</v>
      </c>
      <c r="G256" s="153" t="s">
        <v>9</v>
      </c>
      <c r="H256" s="19" t="s">
        <v>9</v>
      </c>
      <c r="I256" s="30"/>
      <c r="K256" s="5" t="s">
        <v>353</v>
      </c>
      <c r="M256" s="5">
        <v>20000</v>
      </c>
      <c r="N256" s="5">
        <v>20000</v>
      </c>
      <c r="O256" s="5">
        <v>20000</v>
      </c>
      <c r="P256" s="5">
        <v>20000</v>
      </c>
      <c r="Q256" s="5">
        <v>20000</v>
      </c>
      <c r="R256" s="5">
        <v>20000</v>
      </c>
      <c r="S256" s="5"/>
      <c r="T256" s="5"/>
      <c r="U256" s="5"/>
    </row>
    <row r="257" spans="1:21" x14ac:dyDescent="0.25">
      <c r="A257" s="42" t="s">
        <v>356</v>
      </c>
      <c r="B257" s="43"/>
      <c r="D257" s="86" t="s">
        <v>351</v>
      </c>
      <c r="E257" s="121" t="s">
        <v>11</v>
      </c>
      <c r="F257" s="149" t="s">
        <v>357</v>
      </c>
      <c r="G257" s="58" t="s">
        <v>9</v>
      </c>
      <c r="H257" s="14" t="s">
        <v>9</v>
      </c>
      <c r="I257" s="30"/>
      <c r="K257" s="5" t="s">
        <v>353</v>
      </c>
      <c r="M257" s="5">
        <v>16000</v>
      </c>
      <c r="N257" s="5">
        <v>16000</v>
      </c>
      <c r="O257" s="5">
        <v>16000</v>
      </c>
      <c r="P257" s="5">
        <v>16000</v>
      </c>
      <c r="Q257" s="5">
        <v>16000</v>
      </c>
      <c r="R257" s="5">
        <v>16000</v>
      </c>
      <c r="S257" s="5"/>
      <c r="T257" s="5"/>
      <c r="U257" s="5"/>
    </row>
    <row r="258" spans="1:21" x14ac:dyDescent="0.25">
      <c r="A258" s="42" t="s">
        <v>358</v>
      </c>
      <c r="B258" s="43"/>
      <c r="D258" s="86" t="s">
        <v>351</v>
      </c>
      <c r="E258" s="121" t="s">
        <v>11</v>
      </c>
      <c r="F258" s="149" t="s">
        <v>359</v>
      </c>
      <c r="G258" s="58" t="s">
        <v>9</v>
      </c>
      <c r="H258" s="14" t="s">
        <v>9</v>
      </c>
      <c r="I258" s="30"/>
      <c r="K258" s="5" t="s">
        <v>353</v>
      </c>
      <c r="M258" s="5">
        <v>12000</v>
      </c>
      <c r="N258" s="5">
        <v>12000</v>
      </c>
      <c r="O258" s="5">
        <v>12000</v>
      </c>
      <c r="P258" s="5">
        <v>12000</v>
      </c>
      <c r="Q258" s="5">
        <v>12000</v>
      </c>
      <c r="R258" s="5">
        <v>12000</v>
      </c>
      <c r="S258" s="5"/>
      <c r="T258" s="5"/>
      <c r="U258" s="5"/>
    </row>
    <row r="259" spans="1:21" x14ac:dyDescent="0.25">
      <c r="A259" s="42" t="s">
        <v>360</v>
      </c>
      <c r="B259" s="43"/>
      <c r="D259" s="86" t="s">
        <v>351</v>
      </c>
      <c r="E259" s="121" t="s">
        <v>11</v>
      </c>
      <c r="F259" s="149" t="s">
        <v>361</v>
      </c>
      <c r="G259" s="58" t="s">
        <v>9</v>
      </c>
      <c r="H259" s="14" t="s">
        <v>9</v>
      </c>
      <c r="I259" s="30"/>
      <c r="K259" s="5" t="s">
        <v>353</v>
      </c>
      <c r="M259" s="5">
        <v>8000</v>
      </c>
      <c r="N259" s="5">
        <v>8000</v>
      </c>
      <c r="O259" s="5">
        <v>8000</v>
      </c>
      <c r="P259" s="5">
        <v>8000</v>
      </c>
      <c r="Q259" s="5">
        <v>8000</v>
      </c>
      <c r="R259" s="5">
        <v>8000</v>
      </c>
      <c r="S259" s="5"/>
      <c r="T259" s="5"/>
      <c r="U259" s="5"/>
    </row>
    <row r="260" spans="1:21" x14ac:dyDescent="0.25">
      <c r="A260" s="42" t="s">
        <v>362</v>
      </c>
      <c r="B260" s="43"/>
      <c r="D260" s="86" t="s">
        <v>351</v>
      </c>
      <c r="E260" s="121" t="s">
        <v>11</v>
      </c>
      <c r="F260" s="149" t="s">
        <v>363</v>
      </c>
      <c r="G260" s="58" t="s">
        <v>9</v>
      </c>
      <c r="H260" s="14" t="s">
        <v>9</v>
      </c>
      <c r="I260" s="30"/>
      <c r="K260" s="5" t="s">
        <v>353</v>
      </c>
      <c r="M260" s="5">
        <v>4000</v>
      </c>
      <c r="N260" s="5">
        <v>4000</v>
      </c>
      <c r="O260" s="5">
        <v>4000</v>
      </c>
      <c r="P260" s="5">
        <v>4000</v>
      </c>
      <c r="Q260" s="5">
        <v>4000</v>
      </c>
      <c r="R260" s="5">
        <v>4000</v>
      </c>
      <c r="S260" s="5"/>
      <c r="T260" s="5"/>
      <c r="U260" s="5"/>
    </row>
    <row r="261" spans="1:21" x14ac:dyDescent="0.25">
      <c r="A261" s="42" t="s">
        <v>364</v>
      </c>
      <c r="B261" s="43"/>
      <c r="D261" s="86" t="s">
        <v>351</v>
      </c>
      <c r="E261" s="121" t="s">
        <v>11</v>
      </c>
      <c r="F261" s="149" t="s">
        <v>365</v>
      </c>
      <c r="G261" s="58" t="s">
        <v>9</v>
      </c>
      <c r="H261" s="14" t="s">
        <v>9</v>
      </c>
      <c r="I261" s="30"/>
      <c r="K261" s="5" t="s">
        <v>353</v>
      </c>
      <c r="M261" s="5">
        <v>0</v>
      </c>
      <c r="N261" s="5">
        <v>0</v>
      </c>
      <c r="O261" s="5">
        <v>0</v>
      </c>
      <c r="P261" s="5">
        <v>0</v>
      </c>
      <c r="Q261" s="5">
        <v>0</v>
      </c>
      <c r="R261" s="5">
        <v>0</v>
      </c>
      <c r="S261" s="5"/>
      <c r="T261" s="5"/>
      <c r="U261" s="5"/>
    </row>
    <row r="262" spans="1:21" x14ac:dyDescent="0.25">
      <c r="A262" s="42" t="s">
        <v>366</v>
      </c>
      <c r="B262" s="43"/>
      <c r="D262" s="86" t="s">
        <v>351</v>
      </c>
      <c r="E262" s="121" t="s">
        <v>11</v>
      </c>
      <c r="F262" s="149" t="s">
        <v>367</v>
      </c>
      <c r="G262" s="58" t="s">
        <v>9</v>
      </c>
      <c r="H262" s="14" t="s">
        <v>9</v>
      </c>
      <c r="K262" s="5" t="s">
        <v>353</v>
      </c>
      <c r="M262" s="5">
        <v>-4000</v>
      </c>
      <c r="N262" s="5">
        <v>-4000</v>
      </c>
      <c r="O262" s="5">
        <v>-4000</v>
      </c>
      <c r="P262" s="5">
        <v>-4000</v>
      </c>
      <c r="Q262" s="5">
        <v>-4000</v>
      </c>
      <c r="R262" s="5">
        <v>-4000</v>
      </c>
      <c r="S262" s="5"/>
      <c r="T262" s="5"/>
      <c r="U262" s="5"/>
    </row>
    <row r="263" spans="1:21" ht="15.75" customHeight="1" x14ac:dyDescent="0.25">
      <c r="A263" s="42" t="s">
        <v>368</v>
      </c>
      <c r="B263" s="43"/>
      <c r="D263" s="86" t="s">
        <v>351</v>
      </c>
      <c r="E263" s="121" t="s">
        <v>11</v>
      </c>
      <c r="F263" s="149" t="s">
        <v>369</v>
      </c>
      <c r="G263" s="58" t="s">
        <v>9</v>
      </c>
      <c r="H263" s="14" t="s">
        <v>9</v>
      </c>
      <c r="K263" s="5" t="s">
        <v>353</v>
      </c>
      <c r="M263" s="5">
        <v>-8000</v>
      </c>
      <c r="N263" s="5">
        <v>-8000</v>
      </c>
      <c r="O263" s="5">
        <v>-8000</v>
      </c>
      <c r="P263" s="5">
        <v>-8000</v>
      </c>
      <c r="Q263" s="5">
        <v>-8000</v>
      </c>
      <c r="R263" s="5">
        <v>-8000</v>
      </c>
      <c r="S263" s="5"/>
      <c r="T263" s="5"/>
      <c r="U263" s="5"/>
    </row>
    <row r="264" spans="1:21" ht="15.75" customHeight="1" x14ac:dyDescent="0.25">
      <c r="A264" s="41"/>
      <c r="B264" s="53"/>
      <c r="M264" s="66"/>
      <c r="N264" s="66"/>
    </row>
    <row r="265" spans="1:21" ht="15.75" customHeight="1" x14ac:dyDescent="0.25">
      <c r="A265" s="28" t="s">
        <v>370</v>
      </c>
      <c r="B265" s="53"/>
      <c r="M265" s="66"/>
      <c r="N265" s="66"/>
    </row>
    <row r="266" spans="1:21" ht="15.75" customHeight="1" x14ac:dyDescent="0.25">
      <c r="A266" s="52" t="s">
        <v>371</v>
      </c>
      <c r="B266" s="53"/>
      <c r="D266" s="14" t="s">
        <v>63</v>
      </c>
      <c r="E266" s="121" t="s">
        <v>11</v>
      </c>
      <c r="F266" s="99" t="s">
        <v>372</v>
      </c>
      <c r="G266" s="95" t="s">
        <v>9</v>
      </c>
      <c r="H266" s="14" t="s">
        <v>9</v>
      </c>
      <c r="K266" s="5" t="s">
        <v>353</v>
      </c>
      <c r="M266" s="3"/>
      <c r="N266" s="3"/>
      <c r="O266" s="5"/>
      <c r="P266" s="5"/>
      <c r="Q266" s="5"/>
      <c r="R266" s="5"/>
      <c r="S266" s="5"/>
      <c r="T266" s="5"/>
      <c r="U266" s="5"/>
    </row>
    <row r="267" spans="1:21" ht="15.75" customHeight="1" x14ac:dyDescent="0.25">
      <c r="A267" s="52" t="s">
        <v>373</v>
      </c>
      <c r="B267" s="53"/>
      <c r="D267" s="14" t="s">
        <v>63</v>
      </c>
      <c r="E267" s="121" t="s">
        <v>11</v>
      </c>
      <c r="F267" s="99" t="s">
        <v>374</v>
      </c>
      <c r="G267" s="95" t="s">
        <v>9</v>
      </c>
      <c r="H267" s="14" t="s">
        <v>9</v>
      </c>
      <c r="K267" s="5" t="s">
        <v>353</v>
      </c>
      <c r="M267" s="3" t="s">
        <v>375</v>
      </c>
      <c r="N267" s="3" t="s">
        <v>375</v>
      </c>
      <c r="O267" s="3" t="s">
        <v>375</v>
      </c>
      <c r="P267" s="3" t="s">
        <v>375</v>
      </c>
      <c r="Q267" s="3" t="s">
        <v>375</v>
      </c>
      <c r="R267" s="3" t="s">
        <v>375</v>
      </c>
      <c r="S267" s="3" t="s">
        <v>375</v>
      </c>
      <c r="T267" s="3" t="s">
        <v>375</v>
      </c>
      <c r="U267" s="3" t="s">
        <v>375</v>
      </c>
    </row>
    <row r="268" spans="1:21" ht="15.75" customHeight="1" x14ac:dyDescent="0.25">
      <c r="A268" s="52" t="s">
        <v>376</v>
      </c>
      <c r="B268" s="53"/>
      <c r="D268" s="14" t="s">
        <v>63</v>
      </c>
      <c r="E268" s="121" t="s">
        <v>11</v>
      </c>
      <c r="F268" s="99" t="s">
        <v>377</v>
      </c>
      <c r="G268" s="95" t="s">
        <v>9</v>
      </c>
      <c r="H268" s="14" t="s">
        <v>9</v>
      </c>
      <c r="K268" s="5" t="s">
        <v>353</v>
      </c>
      <c r="M268" s="3" t="s">
        <v>378</v>
      </c>
      <c r="N268" s="3" t="s">
        <v>378</v>
      </c>
      <c r="O268" s="3" t="s">
        <v>378</v>
      </c>
      <c r="P268" s="3" t="s">
        <v>378</v>
      </c>
      <c r="Q268" s="3" t="s">
        <v>378</v>
      </c>
      <c r="R268" s="3" t="s">
        <v>378</v>
      </c>
      <c r="S268" s="3" t="s">
        <v>378</v>
      </c>
      <c r="T268" s="3" t="s">
        <v>378</v>
      </c>
      <c r="U268" s="3" t="s">
        <v>378</v>
      </c>
    </row>
    <row r="269" spans="1:21" ht="15.75" customHeight="1" x14ac:dyDescent="0.25">
      <c r="A269" s="52" t="s">
        <v>379</v>
      </c>
      <c r="B269" s="53"/>
      <c r="D269" s="14" t="s">
        <v>63</v>
      </c>
      <c r="E269" s="121" t="s">
        <v>11</v>
      </c>
      <c r="F269" s="99" t="s">
        <v>380</v>
      </c>
      <c r="G269" s="95" t="s">
        <v>9</v>
      </c>
      <c r="H269" s="14" t="s">
        <v>9</v>
      </c>
      <c r="K269" s="5" t="s">
        <v>353</v>
      </c>
      <c r="M269" s="3" t="s">
        <v>381</v>
      </c>
      <c r="N269" s="3" t="s">
        <v>381</v>
      </c>
      <c r="O269" s="3" t="s">
        <v>381</v>
      </c>
      <c r="P269" s="3" t="s">
        <v>381</v>
      </c>
      <c r="Q269" s="3" t="s">
        <v>381</v>
      </c>
      <c r="R269" s="3" t="s">
        <v>381</v>
      </c>
      <c r="S269" s="3" t="s">
        <v>381</v>
      </c>
      <c r="T269" s="3" t="s">
        <v>381</v>
      </c>
      <c r="U269" s="3" t="s">
        <v>381</v>
      </c>
    </row>
    <row r="270" spans="1:21" ht="15.75" customHeight="1" x14ac:dyDescent="0.25">
      <c r="A270" s="52" t="s">
        <v>382</v>
      </c>
      <c r="B270" s="53"/>
      <c r="D270" s="14" t="s">
        <v>63</v>
      </c>
      <c r="E270" s="121" t="s">
        <v>11</v>
      </c>
      <c r="F270" s="99" t="s">
        <v>383</v>
      </c>
      <c r="G270" s="95" t="s">
        <v>9</v>
      </c>
      <c r="H270" s="14" t="s">
        <v>9</v>
      </c>
      <c r="K270" s="5" t="s">
        <v>353</v>
      </c>
      <c r="M270" s="3" t="s">
        <v>384</v>
      </c>
      <c r="N270" s="3" t="s">
        <v>384</v>
      </c>
      <c r="O270" s="3" t="s">
        <v>384</v>
      </c>
      <c r="P270" s="3" t="s">
        <v>384</v>
      </c>
      <c r="Q270" s="3" t="s">
        <v>384</v>
      </c>
      <c r="R270" s="3" t="s">
        <v>384</v>
      </c>
      <c r="S270" s="3" t="s">
        <v>384</v>
      </c>
      <c r="T270" s="3" t="s">
        <v>384</v>
      </c>
      <c r="U270" s="3" t="s">
        <v>384</v>
      </c>
    </row>
    <row r="271" spans="1:21" ht="15.75" customHeight="1" x14ac:dyDescent="0.25">
      <c r="A271" s="52" t="s">
        <v>385</v>
      </c>
      <c r="B271" s="53"/>
      <c r="D271" s="14" t="s">
        <v>63</v>
      </c>
      <c r="E271" s="121" t="s">
        <v>11</v>
      </c>
      <c r="F271" s="99" t="s">
        <v>386</v>
      </c>
      <c r="G271" s="95" t="s">
        <v>9</v>
      </c>
      <c r="H271" s="14" t="s">
        <v>9</v>
      </c>
      <c r="K271" s="5" t="s">
        <v>353</v>
      </c>
      <c r="M271" s="3" t="s">
        <v>387</v>
      </c>
      <c r="N271" s="3" t="s">
        <v>387</v>
      </c>
      <c r="O271" s="3" t="s">
        <v>387</v>
      </c>
      <c r="P271" s="3" t="s">
        <v>387</v>
      </c>
      <c r="Q271" s="3" t="s">
        <v>387</v>
      </c>
      <c r="R271" s="3" t="s">
        <v>387</v>
      </c>
      <c r="S271" s="3" t="s">
        <v>387</v>
      </c>
      <c r="T271" s="3" t="s">
        <v>387</v>
      </c>
      <c r="U271" s="3" t="s">
        <v>387</v>
      </c>
    </row>
    <row r="272" spans="1:21" ht="15.75" customHeight="1" x14ac:dyDescent="0.25">
      <c r="A272" s="52" t="s">
        <v>388</v>
      </c>
      <c r="B272" s="53"/>
      <c r="D272" s="14" t="s">
        <v>63</v>
      </c>
      <c r="E272" s="121" t="s">
        <v>11</v>
      </c>
      <c r="F272" s="99" t="s">
        <v>389</v>
      </c>
      <c r="G272" s="95" t="s">
        <v>9</v>
      </c>
      <c r="H272" s="14" t="s">
        <v>9</v>
      </c>
      <c r="K272" s="5" t="s">
        <v>353</v>
      </c>
      <c r="M272" s="3" t="s">
        <v>390</v>
      </c>
      <c r="N272" s="3" t="s">
        <v>390</v>
      </c>
      <c r="O272" s="3" t="s">
        <v>390</v>
      </c>
      <c r="P272" s="3" t="s">
        <v>390</v>
      </c>
      <c r="Q272" s="3" t="s">
        <v>390</v>
      </c>
      <c r="R272" s="3" t="s">
        <v>390</v>
      </c>
      <c r="S272" s="3" t="s">
        <v>390</v>
      </c>
      <c r="T272" s="3" t="s">
        <v>390</v>
      </c>
      <c r="U272" s="3" t="s">
        <v>390</v>
      </c>
    </row>
    <row r="273" spans="1:21" ht="15.75" customHeight="1" x14ac:dyDescent="0.25">
      <c r="A273" s="52" t="s">
        <v>391</v>
      </c>
      <c r="B273" s="53"/>
      <c r="D273" s="14" t="s">
        <v>63</v>
      </c>
      <c r="E273" s="121" t="s">
        <v>11</v>
      </c>
      <c r="F273" s="99" t="s">
        <v>392</v>
      </c>
      <c r="G273" s="95" t="s">
        <v>9</v>
      </c>
      <c r="H273" s="14" t="s">
        <v>9</v>
      </c>
      <c r="K273" s="5" t="s">
        <v>353</v>
      </c>
      <c r="M273" s="65" t="s">
        <v>393</v>
      </c>
      <c r="N273" s="65" t="s">
        <v>393</v>
      </c>
      <c r="O273" s="65" t="s">
        <v>393</v>
      </c>
      <c r="P273" s="65" t="s">
        <v>393</v>
      </c>
      <c r="Q273" s="65" t="s">
        <v>393</v>
      </c>
      <c r="R273" s="65" t="s">
        <v>393</v>
      </c>
      <c r="S273" s="65" t="s">
        <v>393</v>
      </c>
      <c r="T273" s="65" t="s">
        <v>393</v>
      </c>
      <c r="U273" s="65" t="s">
        <v>393</v>
      </c>
    </row>
    <row r="274" spans="1:21" ht="15.75" customHeight="1" x14ac:dyDescent="0.25">
      <c r="A274" s="52" t="s">
        <v>394</v>
      </c>
      <c r="B274" s="53"/>
      <c r="D274" s="14" t="s">
        <v>63</v>
      </c>
      <c r="E274" s="121" t="s">
        <v>11</v>
      </c>
      <c r="F274" s="99" t="s">
        <v>395</v>
      </c>
      <c r="G274" s="95" t="s">
        <v>9</v>
      </c>
      <c r="H274" s="14" t="s">
        <v>9</v>
      </c>
      <c r="K274" s="5" t="s">
        <v>353</v>
      </c>
      <c r="M274" s="3" t="s">
        <v>396</v>
      </c>
      <c r="N274" s="3" t="s">
        <v>396</v>
      </c>
      <c r="O274" s="3" t="s">
        <v>396</v>
      </c>
      <c r="P274" s="3" t="s">
        <v>396</v>
      </c>
      <c r="Q274" s="3" t="s">
        <v>396</v>
      </c>
      <c r="R274" s="3" t="s">
        <v>396</v>
      </c>
      <c r="S274" s="3" t="s">
        <v>396</v>
      </c>
      <c r="T274" s="3" t="s">
        <v>396</v>
      </c>
      <c r="U274" s="3" t="s">
        <v>396</v>
      </c>
    </row>
    <row r="275" spans="1:21" ht="15" customHeight="1" x14ac:dyDescent="0.25">
      <c r="M275" s="66"/>
      <c r="N275" s="66"/>
    </row>
    <row r="276" spans="1:21" ht="15" customHeight="1" x14ac:dyDescent="0.25">
      <c r="A276" s="209" t="s">
        <v>397</v>
      </c>
      <c r="B276" s="209"/>
      <c r="M276" s="66"/>
      <c r="N276" s="66"/>
    </row>
    <row r="277" spans="1:21" ht="15" customHeight="1" x14ac:dyDescent="0.25">
      <c r="A277" s="207" t="s">
        <v>398</v>
      </c>
      <c r="B277" s="207"/>
      <c r="D277" s="14"/>
      <c r="E277" s="14"/>
      <c r="F277" s="5"/>
      <c r="G277" s="5" t="s">
        <v>9</v>
      </c>
      <c r="H277" s="14"/>
      <c r="M277" s="132" t="s">
        <v>399</v>
      </c>
      <c r="N277" s="132" t="s">
        <v>399</v>
      </c>
      <c r="O277" s="132" t="s">
        <v>399</v>
      </c>
      <c r="P277" s="132" t="s">
        <v>400</v>
      </c>
      <c r="Q277" s="132" t="s">
        <v>400</v>
      </c>
      <c r="R277" s="132" t="s">
        <v>400</v>
      </c>
      <c r="S277" s="132" t="s">
        <v>400</v>
      </c>
      <c r="T277" s="132" t="s">
        <v>400</v>
      </c>
      <c r="U277" s="132" t="s">
        <v>400</v>
      </c>
    </row>
    <row r="278" spans="1:21" ht="15" customHeight="1" x14ac:dyDescent="0.3">
      <c r="A278" s="207" t="s">
        <v>401</v>
      </c>
      <c r="B278" s="207"/>
      <c r="D278" s="14" t="s">
        <v>402</v>
      </c>
      <c r="E278" s="123" t="s">
        <v>8</v>
      </c>
      <c r="F278" s="5" t="s">
        <v>210</v>
      </c>
      <c r="G278" s="5" t="s">
        <v>9</v>
      </c>
      <c r="H278" s="14" t="s">
        <v>9</v>
      </c>
      <c r="K278" s="55"/>
      <c r="M278" s="5" t="str">
        <f t="shared" ref="M278:U278" si="33">M45</f>
        <v>2L</v>
      </c>
      <c r="N278" s="5" t="str">
        <f t="shared" si="33"/>
        <v>2L</v>
      </c>
      <c r="O278" s="5" t="str">
        <f t="shared" si="33"/>
        <v>2R</v>
      </c>
      <c r="P278" s="5" t="str">
        <f t="shared" si="33"/>
        <v>2C</v>
      </c>
      <c r="Q278" s="5" t="str">
        <f t="shared" si="33"/>
        <v>2C</v>
      </c>
      <c r="R278" s="5" t="str">
        <f t="shared" si="33"/>
        <v>2C</v>
      </c>
      <c r="S278" s="5" t="str">
        <f t="shared" si="33"/>
        <v>4C</v>
      </c>
      <c r="T278" s="5" t="str">
        <f t="shared" si="33"/>
        <v>4C</v>
      </c>
      <c r="U278" s="5" t="str">
        <f t="shared" si="33"/>
        <v>4C</v>
      </c>
    </row>
    <row r="279" spans="1:21" ht="15" customHeight="1" x14ac:dyDescent="0.3">
      <c r="A279" s="243" t="s">
        <v>403</v>
      </c>
      <c r="B279" s="243"/>
      <c r="D279" s="14" t="s">
        <v>404</v>
      </c>
      <c r="E279" s="123" t="s">
        <v>8</v>
      </c>
      <c r="F279" s="99" t="s">
        <v>405</v>
      </c>
      <c r="G279" s="95" t="s">
        <v>9</v>
      </c>
      <c r="H279" s="14" t="s">
        <v>9</v>
      </c>
      <c r="K279" s="55" t="s">
        <v>406</v>
      </c>
      <c r="M279" s="133" cm="1">
        <f t="array" ref="M279">IF(
    M277="Common component",
    IFERROR(
        _xlfn.XLOOKUP(
            M278,
            selection!$C$94:$G$94,
            _xlfn.XLOOKUP(
                'VT Standard configs'!M41,
                selection!$B$95:$B$104,
                selection!$C$95:$G$104
            )
        ),
        "Doors dont exist in LD"
    ),
    IF(
        M277="Meiller",
        IFERROR(
            _xlfn.XLOOKUP(
                M278,
                selection!$K$94:$O$94,
                _xlfn.XLOOKUP(
                    'VT Standard configs'!M41,
                    selection!$J$95:$J$110,
                    selection!$K$95:$O$110
                )
            ),
            "Doors dont exist in LD"
        ),
        "Wrong type"
    )
)</f>
        <v>45</v>
      </c>
      <c r="N279" s="133" cm="1">
        <f t="array" ref="N279">IF(
    N277="Common component",
    IFERROR(
        _xlfn.XLOOKUP(
            N278,
            selection!$C$94:$G$94,
            _xlfn.XLOOKUP(
                'VT Standard configs'!N41,
                selection!$B$95:$B$104,
                selection!$C$95:$G$104
            )
        ),
        "Doors dont exist in LD"
    ),
    IF(
        N277="Meiller",
        IFERROR(
            _xlfn.XLOOKUP(
                N278,
                selection!$K$94:$O$94,
                _xlfn.XLOOKUP(
                    'VT Standard configs'!N41,
                    selection!$J$95:$J$110,
                    selection!$K$95:$O$110
                )
            ),
            "Doors dont exist in LD"
        ),
        "Wrong type"
    )
)</f>
        <v>45</v>
      </c>
      <c r="O279" s="133" cm="1">
        <f t="array" ref="O279">IF(
    O277="Common component",
    IFERROR(
        _xlfn.XLOOKUP(
            O278,
            selection!$C$94:$G$94,
            _xlfn.XLOOKUP(
                'VT Standard configs'!O41,
                selection!$B$95:$B$104,
                selection!$C$95:$G$104
            )
        ),
        "Doors dont exist in LD"
    ),
    IF(
        O277="Meiller",
        IFERROR(
            _xlfn.XLOOKUP(
                O278,
                selection!$K$94:$O$94,
                _xlfn.XLOOKUP(
                    'VT Standard configs'!O41,
                    selection!$J$95:$J$110,
                    selection!$K$95:$O$110
                )
            ),
            "Doors dont exist in LD"
        ),
        "Wrong type"
    )
)</f>
        <v>59</v>
      </c>
      <c r="P279" s="133" cm="1">
        <f t="array" ref="P279">IF(
    P277="Common component",
    IFERROR(
        _xlfn.XLOOKUP(
            P278,
            selection!$C$94:$G$94,
            _xlfn.XLOOKUP(
                'VT Standard configs'!P41,
                selection!$B$95:$B$104,
                selection!$C$95:$G$104
            )
        ),
        "Doors dont exist in LD"
    ),
    IF(
        P277="Meiller",
        IFERROR(
            _xlfn.XLOOKUP(
                P278,
                selection!$K$94:$O$94,
                _xlfn.XLOOKUP(
                    'VT Standard configs'!P41,
                    selection!$J$95:$J$110,
                    selection!$K$95:$O$110
                )
            ),
            "Doors dont exist in LD"
        ),
        "Wrong type"
    )
)</f>
        <v>1400076</v>
      </c>
      <c r="Q279" s="133" cm="1">
        <f t="array" ref="Q279">IF(
    Q277="Common component",
    IFERROR(
        _xlfn.XLOOKUP(
            Q278,
            selection!$C$94:$G$94,
            _xlfn.XLOOKUP(
                'VT Standard configs'!Q41,
                selection!$B$95:$B$104,
                selection!$C$95:$G$104
            )
        ),
        "Doors dont exist in LD"
    ),
    IF(
        Q277="Meiller",
        IFERROR(
            _xlfn.XLOOKUP(
                Q278,
                selection!$K$94:$O$94,
                _xlfn.XLOOKUP(
                    'VT Standard configs'!Q41,
                    selection!$J$95:$J$110,
                    selection!$K$95:$O$110
                )
            ),
            "Doors dont exist in LD"
        ),
        "Wrong type"
    )
)</f>
        <v>1400077</v>
      </c>
      <c r="R279" s="133" cm="1">
        <f t="array" ref="R279">IF(
    R277="Common component",
    IFERROR(
        _xlfn.XLOOKUP(
            R278,
            selection!$C$94:$G$94,
            _xlfn.XLOOKUP(
                'VT Standard configs'!R41,
                selection!$B$95:$B$104,
                selection!$C$95:$G$104
            )
        ),
        "Doors dont exist in LD"
    ),
    IF(
        R277="Meiller",
        IFERROR(
            _xlfn.XLOOKUP(
                R278,
                selection!$K$94:$O$94,
                _xlfn.XLOOKUP(
                    'VT Standard configs'!R41,
                    selection!$J$95:$J$110,
                    selection!$K$95:$O$110
                )
            ),
            "Doors dont exist in LD"
        ),
        "Wrong type"
    )
)</f>
        <v>1400077</v>
      </c>
      <c r="S279" s="133" cm="1">
        <f t="array" ref="S279">IF(
    S277="Common component",
    IFERROR(
        _xlfn.XLOOKUP(
            S278,
            selection!$C$94:$G$94,
            _xlfn.XLOOKUP(
                'VT Standard configs'!S41,
                selection!$B$95:$B$104,
                selection!$C$95:$G$104
            )
        ),
        "Doors dont exist in LD"
    ),
    IF(
        S277="Meiller",
        IFERROR(
            _xlfn.XLOOKUP(
                S278,
                selection!$K$94:$O$94,
                _xlfn.XLOOKUP(
                    'VT Standard configs'!S41,
                    selection!$J$95:$J$110,
                    selection!$K$95:$O$110
                )
            ),
            "Doors dont exist in LD"
        ),
        "Wrong type"
    )
)</f>
        <v>1400093</v>
      </c>
      <c r="T279" s="133" cm="1">
        <f t="array" ref="T279">IF(
    T277="Common component",
    IFERROR(
        _xlfn.XLOOKUP(
            T278,
            selection!$C$94:$G$94,
            _xlfn.XLOOKUP(
                'VT Standard configs'!T41,
                selection!$B$95:$B$104,
                selection!$C$95:$G$104
            )
        ),
        "Doors dont exist in LD"
    ),
    IF(
        T277="Meiller",
        IFERROR(
            _xlfn.XLOOKUP(
                T278,
                selection!$K$94:$O$94,
                _xlfn.XLOOKUP(
                    'VT Standard configs'!T41,
                    selection!$J$95:$J$110,
                    selection!$K$95:$O$110
                )
            ),
            "Doors dont exist in LD"
        ),
        "Wrong type"
    )
)</f>
        <v>1400095</v>
      </c>
      <c r="U279" s="133" cm="1">
        <f t="array" ref="U279">IF(
    U277="Common component",
    IFERROR(
        _xlfn.XLOOKUP(
            U278,
            selection!$C$94:$G$94,
            _xlfn.XLOOKUP(
                'VT Standard configs'!U41,
                selection!$B$95:$B$104,
                selection!$C$95:$G$104
            )
        ),
        "Doors dont exist in LD"
    ),
    IF(
        U277="Meiller",
        IFERROR(
            _xlfn.XLOOKUP(
                U278,
                selection!$K$94:$O$94,
                _xlfn.XLOOKUP(
                    'VT Standard configs'!U41,
                    selection!$J$95:$J$110,
                    selection!$K$95:$O$110
                )
            ),
            "Doors dont exist in LD"
        ),
        "Wrong type"
    )
)</f>
        <v>1400098</v>
      </c>
    </row>
    <row r="280" spans="1:21" ht="15" customHeight="1" x14ac:dyDescent="0.3">
      <c r="A280" s="207" t="s">
        <v>407</v>
      </c>
      <c r="B280" s="207"/>
      <c r="D280" s="14" t="s">
        <v>402</v>
      </c>
      <c r="E280" s="123" t="s">
        <v>8</v>
      </c>
      <c r="F280" s="5" t="s">
        <v>210</v>
      </c>
      <c r="G280" s="5" t="s">
        <v>9</v>
      </c>
      <c r="H280" s="14" t="s">
        <v>9</v>
      </c>
      <c r="K280" s="55"/>
      <c r="M280" s="82" t="str">
        <f t="shared" ref="M280:N280" si="34">IF(M278="2L","2R",
IF(M278="2R","2L",IF(OR(M278="2C",M278="4C",M278="6C"),M278,"non std. Door")))</f>
        <v>2R</v>
      </c>
      <c r="N280" s="82" t="str">
        <f t="shared" si="34"/>
        <v>2R</v>
      </c>
      <c r="O280" s="82" t="str">
        <f>IF(O278="2L","2R",
IF(O278="2R","2L",IF(OR(O278="2C",O278="4C",O278="6C"),O278,"non std. Door")))</f>
        <v>2L</v>
      </c>
      <c r="P280" s="82" t="str">
        <f t="shared" ref="P280:T280" si="35">IF(P278="2L","2R",
IF(P278="2R","2L",IF(OR(P278="2C",P278="4C",P278="6C"),P278,"non std. Door")))</f>
        <v>2C</v>
      </c>
      <c r="Q280" s="82" t="str">
        <f t="shared" si="35"/>
        <v>2C</v>
      </c>
      <c r="R280" s="82" t="str">
        <f t="shared" si="35"/>
        <v>2C</v>
      </c>
      <c r="S280" s="82" t="str">
        <f t="shared" si="35"/>
        <v>4C</v>
      </c>
      <c r="T280" s="82" t="str">
        <f t="shared" si="35"/>
        <v>4C</v>
      </c>
      <c r="U280" s="82" t="str">
        <f>IF(U278="2L","2R",
IF(U278="2R","2L",IF(OR(U278="2C",U278="4C",U278="6C"),U278,"non std. Door")))</f>
        <v>4C</v>
      </c>
    </row>
    <row r="281" spans="1:21" ht="15" customHeight="1" x14ac:dyDescent="0.3">
      <c r="A281" s="207" t="s">
        <v>408</v>
      </c>
      <c r="B281" s="207"/>
      <c r="D281" s="14" t="s">
        <v>404</v>
      </c>
      <c r="E281" s="123" t="s">
        <v>8</v>
      </c>
      <c r="F281" s="99" t="s">
        <v>409</v>
      </c>
      <c r="G281" s="95" t="s">
        <v>9</v>
      </c>
      <c r="H281" s="14" t="s">
        <v>9</v>
      </c>
      <c r="K281" s="55" t="s">
        <v>406</v>
      </c>
      <c r="M281" s="57" cm="1">
        <f t="array" ref="M281">IF(
    M277="Common component",
    IFERROR(
        _xlfn.XLOOKUP(
            M280,
            selection!$C$94:$G$94,
            _xlfn.XLOOKUP(
                'VT Standard configs'!M41,
                selection!$B$95:$B$104,
                selection!$C$95:$G$104
            )
        ),
        "Doors dont exist in LD"
    ),
    IF(
        M277="Meiller",
        IFERROR(
            _xlfn.XLOOKUP(
                M280,
                selection!$K$94:$O$94,
                _xlfn.XLOOKUP(
                    'VT Standard configs'!M41,
                    selection!$J$95:$J$110,
                    selection!$K$95:$O$110
                )
            ),
            "Doors dont exist in LD"
        ),
        "Wrong type"
    )
)</f>
        <v>57</v>
      </c>
      <c r="N281" s="57" cm="1">
        <f t="array" ref="N281">IF(
    N277="Common component",
    IFERROR(
        _xlfn.XLOOKUP(
            N280,
            selection!$C$94:$G$94,
            _xlfn.XLOOKUP(
                'VT Standard configs'!N41,
                selection!$B$95:$B$104,
                selection!$C$95:$G$104
            )
        ),
        "Doors dont exist in LD"
    ),
    IF(
        N277="Meiller",
        IFERROR(
            _xlfn.XLOOKUP(
                N280,
                selection!$K$94:$O$94,
                _xlfn.XLOOKUP(
                    'VT Standard configs'!N41,
                    selection!$J$95:$J$110,
                    selection!$K$95:$O$110
                )
            ),
            "Doors dont exist in LD"
        ),
        "Wrong type"
    )
)</f>
        <v>57</v>
      </c>
      <c r="O281" s="57" cm="1">
        <f t="array" ref="O281">IF(
    O277="Common component",
    IFERROR(
        _xlfn.XLOOKUP(
            O280,
            selection!$C$94:$G$94,
            _xlfn.XLOOKUP(
                'VT Standard configs'!O41,
                selection!$B$95:$B$104,
                selection!$C$95:$G$104
            )
        ),
        "Doors dont exist in LD"
    ),
    IF(
        O277="Meiller",
        IFERROR(
            _xlfn.XLOOKUP(
                O280,
                selection!$K$94:$O$94,
                _xlfn.XLOOKUP(
                    'VT Standard configs'!O41,
                    selection!$J$95:$J$110,
                    selection!$K$95:$O$110
                )
            ),
            "Doors dont exist in LD"
        ),
        "Wrong type"
    )
)</f>
        <v>47</v>
      </c>
      <c r="P281" s="57" cm="1">
        <f t="array" ref="P281">IF(
    P277="Common component",
    IFERROR(
        _xlfn.XLOOKUP(
            P280,
            selection!$C$94:$G$94,
            _xlfn.XLOOKUP(
                'VT Standard configs'!P41,
                selection!$B$95:$B$104,
                selection!$C$95:$G$104
            )
        ),
        "Doors dont exist in LD"
    ),
    IF(
        P277="Meiller",
        IFERROR(
            _xlfn.XLOOKUP(
                P280,
                selection!$K$94:$O$94,
                _xlfn.XLOOKUP(
                    'VT Standard configs'!P41,
                    selection!$J$95:$J$110,
                    selection!$K$95:$O$110
                )
            ),
            "Doors dont exist in LD"
        ),
        "Wrong type"
    )
)</f>
        <v>1400076</v>
      </c>
      <c r="Q281" s="57" cm="1">
        <f t="array" ref="Q281">IF(
    Q277="Common component",
    IFERROR(
        _xlfn.XLOOKUP(
            Q280,
            selection!$C$94:$G$94,
            _xlfn.XLOOKUP(
                'VT Standard configs'!Q41,
                selection!$B$95:$B$104,
                selection!$C$95:$G$104
            )
        ),
        "Doors dont exist in LD"
    ),
    IF(
        Q277="Meiller",
        IFERROR(
            _xlfn.XLOOKUP(
                Q280,
                selection!$K$94:$O$94,
                _xlfn.XLOOKUP(
                    'VT Standard configs'!Q41,
                    selection!$J$95:$J$110,
                    selection!$K$95:$O$110
                )
            ),
            "Doors dont exist in LD"
        ),
        "Wrong type"
    )
)</f>
        <v>1400077</v>
      </c>
      <c r="R281" s="57" cm="1">
        <f t="array" ref="R281">IF(
    R277="Common component",
    IFERROR(
        _xlfn.XLOOKUP(
            R280,
            selection!$C$94:$G$94,
            _xlfn.XLOOKUP(
                'VT Standard configs'!R41,
                selection!$B$95:$B$104,
                selection!$C$95:$G$104
            )
        ),
        "Doors dont exist in LD"
    ),
    IF(
        R277="Meiller",
        IFERROR(
            _xlfn.XLOOKUP(
                R280,
                selection!$K$94:$O$94,
                _xlfn.XLOOKUP(
                    'VT Standard configs'!R41,
                    selection!$J$95:$J$110,
                    selection!$K$95:$O$110
                )
            ),
            "Doors dont exist in LD"
        ),
        "Wrong type"
    )
)</f>
        <v>1400077</v>
      </c>
      <c r="S281" s="57" cm="1">
        <f t="array" ref="S281">IF(
    S277="Common component",
    IFERROR(
        _xlfn.XLOOKUP(
            S280,
            selection!$C$94:$G$94,
            _xlfn.XLOOKUP(
                'VT Standard configs'!S41,
                selection!$B$95:$B$104,
                selection!$C$95:$G$104
            )
        ),
        "Doors dont exist in LD"
    ),
    IF(
        S277="Meiller",
        IFERROR(
            _xlfn.XLOOKUP(
                S280,
                selection!$K$94:$O$94,
                _xlfn.XLOOKUP(
                    'VT Standard configs'!S41,
                    selection!$J$95:$J$110,
                    selection!$K$95:$O$110
                )
            ),
            "Doors dont exist in LD"
        ),
        "Wrong type"
    )
)</f>
        <v>1400093</v>
      </c>
      <c r="T281" s="57" cm="1">
        <f t="array" ref="T281">IF(
    T277="Common component",
    IFERROR(
        _xlfn.XLOOKUP(
            T280,
            selection!$C$94:$G$94,
            _xlfn.XLOOKUP(
                'VT Standard configs'!T41,
                selection!$B$95:$B$104,
                selection!$C$95:$G$104
            )
        ),
        "Doors dont exist in LD"
    ),
    IF(
        T277="Meiller",
        IFERROR(
            _xlfn.XLOOKUP(
                T280,
                selection!$K$94:$O$94,
                _xlfn.XLOOKUP(
                    'VT Standard configs'!T41,
                    selection!$J$95:$J$110,
                    selection!$K$95:$O$110
                )
            ),
            "Doors dont exist in LD"
        ),
        "Wrong type"
    )
)</f>
        <v>1400095</v>
      </c>
      <c r="U281" s="57" cm="1">
        <f t="array" ref="U281">IF(
    U277="Common component",
    IFERROR(
        _xlfn.XLOOKUP(
            U280,
            selection!$C$94:$G$94,
            _xlfn.XLOOKUP(
                'VT Standard configs'!U41,
                selection!$B$95:$B$104,
                selection!$C$95:$G$104
            )
        ),
        "Doors dont exist in LD"
    ),
    IF(
        U277="Meiller",
        IFERROR(
            _xlfn.XLOOKUP(
                U280,
                selection!$K$94:$O$94,
                _xlfn.XLOOKUP(
                    'VT Standard configs'!U41,
                    selection!$J$95:$J$110,
                    selection!$K$95:$O$110
                )
            ),
            "Doors dont exist in LD"
        ),
        "Wrong type"
    )
)</f>
        <v>1400098</v>
      </c>
    </row>
    <row r="282" spans="1:21" x14ac:dyDescent="0.25">
      <c r="N282" s="66"/>
    </row>
    <row r="283" spans="1:21" x14ac:dyDescent="0.25">
      <c r="N283" s="66"/>
    </row>
    <row r="284" spans="1:21" x14ac:dyDescent="0.25">
      <c r="A284" s="215" t="s">
        <v>410</v>
      </c>
      <c r="B284" s="215"/>
      <c r="N284" s="66"/>
    </row>
    <row r="285" spans="1:21" x14ac:dyDescent="0.25">
      <c r="A285" s="131" t="s">
        <v>85</v>
      </c>
      <c r="B285" s="130"/>
      <c r="N285" s="66"/>
    </row>
    <row r="286" spans="1:21" x14ac:dyDescent="0.25">
      <c r="A286" s="207" t="s">
        <v>411</v>
      </c>
      <c r="B286" s="207"/>
      <c r="D286" s="14" t="s">
        <v>412</v>
      </c>
      <c r="E286" s="123" t="s">
        <v>8</v>
      </c>
      <c r="F286" s="5" t="s">
        <v>210</v>
      </c>
      <c r="G286" s="5" t="s">
        <v>9</v>
      </c>
      <c r="H286" s="14" t="s">
        <v>9</v>
      </c>
      <c r="K286" s="5"/>
      <c r="M286" s="5" t="str">
        <f>M278</f>
        <v>2L</v>
      </c>
      <c r="N286" s="5" t="str">
        <f t="shared" ref="N286:U286" si="36">N278</f>
        <v>2L</v>
      </c>
      <c r="O286" s="5" t="str">
        <f t="shared" si="36"/>
        <v>2R</v>
      </c>
      <c r="P286" s="5" t="str">
        <f t="shared" si="36"/>
        <v>2C</v>
      </c>
      <c r="Q286" s="5" t="str">
        <f t="shared" si="36"/>
        <v>2C</v>
      </c>
      <c r="R286" s="5" t="str">
        <f t="shared" si="36"/>
        <v>2C</v>
      </c>
      <c r="S286" s="5" t="str">
        <f t="shared" si="36"/>
        <v>4C</v>
      </c>
      <c r="T286" s="5" t="str">
        <f t="shared" si="36"/>
        <v>4C</v>
      </c>
      <c r="U286" s="5" t="str">
        <f t="shared" si="36"/>
        <v>4C</v>
      </c>
    </row>
    <row r="287" spans="1:21" ht="14.25" customHeight="1" x14ac:dyDescent="0.25">
      <c r="A287" s="207" t="s">
        <v>413</v>
      </c>
      <c r="B287" s="207"/>
      <c r="D287" s="14" t="s">
        <v>404</v>
      </c>
      <c r="E287" s="123" t="s">
        <v>8</v>
      </c>
      <c r="F287" s="99" t="s">
        <v>414</v>
      </c>
      <c r="G287" s="5" t="s">
        <v>9</v>
      </c>
      <c r="H287" s="14" t="s">
        <v>9</v>
      </c>
      <c r="K287" s="5" t="s">
        <v>415</v>
      </c>
      <c r="M287" s="133" cm="1">
        <f t="array" ref="M287">IF(
    M277="Common component",
    IFERROR(
        _xlfn.XLOOKUP(
            M286,
            selection!$C$109:$G$109,
            _xlfn.XLOOKUP(
                'VT Standard configs'!M41,
                selection!$B$110:$B$119,
                selection!$C$110:$G$119
            )
        ),
        "Doors dont exist in LD"
    ),
    IF(
        M277="Meiller",
        IFERROR(
            _xlfn.XLOOKUP(
                M286,
                selection!$K$115:$O$115,
                _xlfn.XLOOKUP(
                    'VT Standard configs'!M41,
                    selection!$J$116:$J$131,
                    selection!$K$116:$O$131
                )
            ),
            "Doors dont exist in LD"
        ),
        "Wrong type"
    )
)</f>
        <v>69</v>
      </c>
      <c r="N287" s="133" cm="1">
        <f t="array" ref="N287">IF(
    N277="Common component",
    IFERROR(
        _xlfn.XLOOKUP(
            N286,
            selection!$C$109:$G$109,
            _xlfn.XLOOKUP(
                'VT Standard configs'!N41,
                selection!$B$110:$B$119,
                selection!$C$110:$G$119
            )
        ),
        "Doors dont exist in LD"
    ),
    IF(
        N277="Meiller",
        IFERROR(
            _xlfn.XLOOKUP(
                N286,
                selection!$K$115:$O$115,
                _xlfn.XLOOKUP(
                    'VT Standard configs'!N41,
                    selection!$J$116:$J$131,
                    selection!$K$116:$O$131
                )
            ),
            "Doors dont exist in LD"
        ),
        "Wrong type"
    )
)</f>
        <v>69</v>
      </c>
      <c r="O287" s="133" cm="1">
        <f t="array" ref="O287">IF(
    O277="Common component",
    IFERROR(
        _xlfn.XLOOKUP(
            O286,
            selection!$C$109:$G$109,
            _xlfn.XLOOKUP(
                'VT Standard configs'!O41,
                selection!$B$110:$B$119,
                selection!$C$110:$G$119
            )
        ),
        "Doors dont exist in LD"
    ),
    IF(
        O277="Meiller",
        IFERROR(
            _xlfn.XLOOKUP(
                O286,
                selection!$K$115:$O$115,
                _xlfn.XLOOKUP(
                    'VT Standard configs'!O41,
                    selection!$J$116:$J$131,
                    selection!$K$116:$O$131
                )
            ),
            "Doors dont exist in LD"
        ),
        "Wrong type"
    )
)</f>
        <v>83</v>
      </c>
      <c r="P287" s="133" cm="1">
        <f t="array" ref="P287">IF(
    P277="Common component",
    IFERROR(
        _xlfn.XLOOKUP(
            P286,
            selection!$C$109:$G$109,
            _xlfn.XLOOKUP(
                'VT Standard configs'!P41,
                selection!$B$110:$B$119,
                selection!$C$110:$G$119
            )
        ),
        "Doors dont exist in LD"
    ),
    IF(
        P277="Meiller",
        IFERROR(
            _xlfn.XLOOKUP(
                P286,
                selection!$K$115:$O$115,
                _xlfn.XLOOKUP(
                    'VT Standard configs'!P41,
                    selection!$J$116:$J$131,
                    selection!$K$116:$O$131
                )
            ),
            "Doors dont exist in LD"
        ),
        "Wrong type"
    )
)</f>
        <v>1400086</v>
      </c>
      <c r="Q287" s="133" cm="1">
        <f t="array" ref="Q287">IF(
    Q277="Common component",
    IFERROR(
        _xlfn.XLOOKUP(
            Q286,
            selection!$C$109:$G$109,
            _xlfn.XLOOKUP(
                'VT Standard configs'!Q41,
                selection!$B$110:$B$119,
                selection!$C$110:$G$119
            )
        ),
        "Doors dont exist in LD"
    ),
    IF(
        Q277="Meiller",
        IFERROR(
            _xlfn.XLOOKUP(
                Q286,
                selection!$K$115:$O$115,
                _xlfn.XLOOKUP(
                    'VT Standard configs'!Q41,
                    selection!$J$116:$J$131,
                    selection!$K$116:$O$131
                )
            ),
            "Doors dont exist in LD"
        ),
        "Wrong type"
    )
)</f>
        <v>1400087</v>
      </c>
      <c r="R287" s="133" cm="1">
        <f t="array" ref="R287">IF(
    R277="Common component",
    IFERROR(
        _xlfn.XLOOKUP(
            R286,
            selection!$C$109:$G$109,
            _xlfn.XLOOKUP(
                'VT Standard configs'!R41,
                selection!$B$110:$B$119,
                selection!$C$110:$G$119
            )
        ),
        "Doors dont exist in LD"
    ),
    IF(
        R277="Meiller",
        IFERROR(
            _xlfn.XLOOKUP(
                R286,
                selection!$K$115:$O$115,
                _xlfn.XLOOKUP(
                    'VT Standard configs'!R41,
                    selection!$J$116:$J$131,
                    selection!$K$116:$O$131
                )
            ),
            "Doors dont exist in LD"
        ),
        "Wrong type"
    )
)</f>
        <v>1400087</v>
      </c>
      <c r="S287" s="133" cm="1">
        <f t="array" ref="S287">IF(
    S277="Common component",
    IFERROR(
        _xlfn.XLOOKUP(
            S286,
            selection!$C$109:$G$109,
            _xlfn.XLOOKUP(
                'VT Standard configs'!S41,
                selection!$B$110:$B$119,
                selection!$C$110:$G$119
            )
        ),
        "Doors dont exist in LD"
    ),
    IF(
        S277="Meiller",
        IFERROR(
            _xlfn.XLOOKUP(
                S286,
                selection!$K$115:$O$115,
                _xlfn.XLOOKUP(
                    'VT Standard configs'!S41,
                    selection!$J$116:$J$131,
                    selection!$K$116:$O$131
                )
            ),
            "Doors dont exist in LD"
        ),
        "Wrong type"
    )
)</f>
        <v>1400106</v>
      </c>
      <c r="T287" s="133" cm="1">
        <f t="array" ref="T287">IF(
    T277="Common component",
    IFERROR(
        _xlfn.XLOOKUP(
            T286,
            selection!$C$109:$G$109,
            _xlfn.XLOOKUP(
                'VT Standard configs'!T41,
                selection!$B$110:$B$119,
                selection!$C$110:$G$119
            )
        ),
        "Doors dont exist in LD"
    ),
    IF(
        T277="Meiller",
        IFERROR(
            _xlfn.XLOOKUP(
                T286,
                selection!$K$115:$O$115,
                _xlfn.XLOOKUP(
                    'VT Standard configs'!T41,
                    selection!$J$116:$J$131,
                    selection!$K$116:$O$131
                )
            ),
            "Doors dont exist in LD"
        ),
        "Wrong type"
    )
)</f>
        <v>1400108</v>
      </c>
      <c r="U287" s="133" cm="1">
        <f t="array" ref="U287">IF(
    U277="Common component",
    IFERROR(
        _xlfn.XLOOKUP(
            U286,
            selection!$C$109:$G$109,
            _xlfn.XLOOKUP(
                'VT Standard configs'!U41,
                selection!$B$110:$B$119,
                selection!$C$110:$G$119
            )
        ),
        "Doors dont exist in LD"
    ),
    IF(
        U277="Meiller",
        IFERROR(
            _xlfn.XLOOKUP(
                U286,
                selection!$K$115:$O$115,
                _xlfn.XLOOKUP(
                    'VT Standard configs'!U41,
                    selection!$J$116:$J$131,
                    selection!$K$116:$O$131
                )
            ),
            "Doors dont exist in LD"
        ),
        "Wrong type"
    )
)</f>
        <v>1400111</v>
      </c>
    </row>
    <row r="288" spans="1:21" x14ac:dyDescent="0.25">
      <c r="A288" s="207" t="s">
        <v>416</v>
      </c>
      <c r="B288" s="207"/>
      <c r="D288" s="14" t="s">
        <v>412</v>
      </c>
      <c r="E288" s="123" t="s">
        <v>8</v>
      </c>
      <c r="F288" s="20" t="s">
        <v>210</v>
      </c>
      <c r="G288" s="5" t="s">
        <v>9</v>
      </c>
      <c r="H288" s="14" t="s">
        <v>9</v>
      </c>
      <c r="K288" s="5"/>
      <c r="M288" s="5" t="str">
        <f>IF(M278="2L","2R",
IF(M278="2R","2L",IF(OR(M278="2C",M278="4C",M278="6C"),M278,"non std. Door")))</f>
        <v>2R</v>
      </c>
      <c r="N288" s="5" t="str">
        <f t="shared" ref="N288:U288" si="37">IF(N278="2L","2R",
IF(N278="2R","2L",IF(OR(N278="2C",N278="4C",N278="6C"),N278,"non std. Door")))</f>
        <v>2R</v>
      </c>
      <c r="O288" s="5" t="str">
        <f t="shared" si="37"/>
        <v>2L</v>
      </c>
      <c r="P288" s="5" t="str">
        <f t="shared" si="37"/>
        <v>2C</v>
      </c>
      <c r="Q288" s="5" t="str">
        <f t="shared" si="37"/>
        <v>2C</v>
      </c>
      <c r="R288" s="5" t="str">
        <f t="shared" si="37"/>
        <v>2C</v>
      </c>
      <c r="S288" s="5" t="str">
        <f t="shared" si="37"/>
        <v>4C</v>
      </c>
      <c r="T288" s="5" t="str">
        <f t="shared" si="37"/>
        <v>4C</v>
      </c>
      <c r="U288" s="5" t="str">
        <f t="shared" si="37"/>
        <v>4C</v>
      </c>
    </row>
    <row r="289" spans="1:21" x14ac:dyDescent="0.25">
      <c r="A289" s="207" t="s">
        <v>416</v>
      </c>
      <c r="B289" s="207"/>
      <c r="D289" s="14" t="s">
        <v>404</v>
      </c>
      <c r="E289" s="123" t="s">
        <v>8</v>
      </c>
      <c r="F289" s="99" t="s">
        <v>417</v>
      </c>
      <c r="G289" s="5" t="s">
        <v>9</v>
      </c>
      <c r="H289" s="14" t="s">
        <v>9</v>
      </c>
      <c r="K289" s="5" t="s">
        <v>415</v>
      </c>
      <c r="M289" s="57" cm="1">
        <f t="array" ref="M289">IF(
    M277="Common component",
    IFERROR(
        _xlfn.XLOOKUP(
            M288,
            selection!$C$109:$G$109,
            _xlfn.XLOOKUP(
                'VT Standard configs'!M41,
                selection!$B$110:$B$119,
                selection!$C$110:$G$119
            )
        ),
        "Doors dont exist in LD"
    ),
    IF(
        M277="Meiller",
        IFERROR(
            _xlfn.XLOOKUP(
                M288,
                selection!$K$115:$O$115,
                _xlfn.XLOOKUP(
                    'VT Standard configs'!M41,
                    selection!$J$116:$J$131,
                    selection!$K$116:$O$131
                )
            ),
            "Doors dont exist in LD"
        ),
        "Wrong type"
    )
)</f>
        <v>81</v>
      </c>
      <c r="N289" s="57" cm="1">
        <f t="array" ref="N289">IF(
    N277="Common component",
    IFERROR(
        _xlfn.XLOOKUP(
            N288,
            selection!$C$109:$G$109,
            _xlfn.XLOOKUP(
                'VT Standard configs'!N41,
                selection!$B$110:$B$119,
                selection!$C$110:$G$119
            )
        ),
        "Doors dont exist in LD"
    ),
    IF(
        N277="Meiller",
        IFERROR(
            _xlfn.XLOOKUP(
                N288,
                selection!$K$115:$O$115,
                _xlfn.XLOOKUP(
                    'VT Standard configs'!N41,
                    selection!$J$116:$J$131,
                    selection!$K$116:$O$131
                )
            ),
            "Doors dont exist in LD"
        ),
        "Wrong type"
    )
)</f>
        <v>81</v>
      </c>
      <c r="O289" s="57" cm="1">
        <f t="array" ref="O289">IF(
    O277="Common component",
    IFERROR(
        _xlfn.XLOOKUP(
            O288,
            selection!$C$109:$G$109,
            _xlfn.XLOOKUP(
                'VT Standard configs'!O41,
                selection!$B$110:$B$119,
                selection!$C$110:$G$119
            )
        ),
        "Doors dont exist in LD"
    ),
    IF(
        O277="Meiller",
        IFERROR(
            _xlfn.XLOOKUP(
                O288,
                selection!$K$115:$O$115,
                _xlfn.XLOOKUP(
                    'VT Standard configs'!O41,
                    selection!$J$116:$J$131,
                    selection!$K$116:$O$131
                )
            ),
            "Doors dont exist in LD"
        ),
        "Wrong type"
    )
)</f>
        <v>71</v>
      </c>
      <c r="P289" s="57" cm="1">
        <f t="array" ref="P289">IF(
    P277="Common component",
    IFERROR(
        _xlfn.XLOOKUP(
            P288,
            selection!$C$109:$G$109,
            _xlfn.XLOOKUP(
                'VT Standard configs'!P41,
                selection!$B$110:$B$119,
                selection!$C$110:$G$119
            )
        ),
        "Doors dont exist in LD"
    ),
    IF(
        P277="Meiller",
        IFERROR(
            _xlfn.XLOOKUP(
                P288,
                selection!$K$115:$O$115,
                _xlfn.XLOOKUP(
                    'VT Standard configs'!P41,
                    selection!$J$116:$J$131,
                    selection!$K$116:$O$131
                )
            ),
            "Doors dont exist in LD"
        ),
        "Wrong type"
    )
)</f>
        <v>1400086</v>
      </c>
      <c r="Q289" s="57" cm="1">
        <f t="array" ref="Q289">IF(
    Q277="Common component",
    IFERROR(
        _xlfn.XLOOKUP(
            Q288,
            selection!$C$109:$G$109,
            _xlfn.XLOOKUP(
                'VT Standard configs'!Q41,
                selection!$B$110:$B$119,
                selection!$C$110:$G$119
            )
        ),
        "Doors dont exist in LD"
    ),
    IF(
        Q277="Meiller",
        IFERROR(
            _xlfn.XLOOKUP(
                Q288,
                selection!$K$115:$O$115,
                _xlfn.XLOOKUP(
                    'VT Standard configs'!Q41,
                    selection!$J$116:$J$131,
                    selection!$K$116:$O$131
                )
            ),
            "Doors dont exist in LD"
        ),
        "Wrong type"
    )
)</f>
        <v>1400087</v>
      </c>
      <c r="R289" s="57" cm="1">
        <f t="array" ref="R289">IF(
    R277="Common component",
    IFERROR(
        _xlfn.XLOOKUP(
            R288,
            selection!$C$109:$G$109,
            _xlfn.XLOOKUP(
                'VT Standard configs'!R41,
                selection!$B$110:$B$119,
                selection!$C$110:$G$119
            )
        ),
        "Doors dont exist in LD"
    ),
    IF(
        R277="Meiller",
        IFERROR(
            _xlfn.XLOOKUP(
                R288,
                selection!$K$115:$O$115,
                _xlfn.XLOOKUP(
                    'VT Standard configs'!R41,
                    selection!$J$116:$J$131,
                    selection!$K$116:$O$131
                )
            ),
            "Doors dont exist in LD"
        ),
        "Wrong type"
    )
)</f>
        <v>1400087</v>
      </c>
      <c r="S289" s="57" cm="1">
        <f t="array" ref="S289">IF(
    S277="Common component",
    IFERROR(
        _xlfn.XLOOKUP(
            S288,
            selection!$C$109:$G$109,
            _xlfn.XLOOKUP(
                'VT Standard configs'!S41,
                selection!$B$110:$B$119,
                selection!$C$110:$G$119
            )
        ),
        "Doors dont exist in LD"
    ),
    IF(
        S277="Meiller",
        IFERROR(
            _xlfn.XLOOKUP(
                S288,
                selection!$K$115:$O$115,
                _xlfn.XLOOKUP(
                    'VT Standard configs'!S41,
                    selection!$J$116:$J$131,
                    selection!$K$116:$O$131
                )
            ),
            "Doors dont exist in LD"
        ),
        "Wrong type"
    )
)</f>
        <v>1400106</v>
      </c>
      <c r="T289" s="57" cm="1">
        <f t="array" ref="T289">IF(
    T277="Common component",
    IFERROR(
        _xlfn.XLOOKUP(
            T288,
            selection!$C$109:$G$109,
            _xlfn.XLOOKUP(
                'VT Standard configs'!T41,
                selection!$B$110:$B$119,
                selection!$C$110:$G$119
            )
        ),
        "Doors dont exist in LD"
    ),
    IF(
        T277="Meiller",
        IFERROR(
            _xlfn.XLOOKUP(
                T288,
                selection!$K$115:$O$115,
                _xlfn.XLOOKUP(
                    'VT Standard configs'!T41,
                    selection!$J$116:$J$131,
                    selection!$K$116:$O$131
                )
            ),
            "Doors dont exist in LD"
        ),
        "Wrong type"
    )
)</f>
        <v>1400108</v>
      </c>
      <c r="U289" s="57" cm="1">
        <f t="array" ref="U289">IF(
    U277="Common component",
    IFERROR(
        _xlfn.XLOOKUP(
            U288,
            selection!$C$109:$G$109,
            _xlfn.XLOOKUP(
                'VT Standard configs'!U41,
                selection!$B$110:$B$119,
                selection!$C$110:$G$119
            )
        ),
        "Doors dont exist in LD"
    ),
    IF(
        U277="Meiller",
        IFERROR(
            _xlfn.XLOOKUP(
                U288,
                selection!$K$115:$O$115,
                _xlfn.XLOOKUP(
                    'VT Standard configs'!U41,
                    selection!$J$116:$J$131,
                    selection!$K$116:$O$131
                )
            ),
            "Doors dont exist in LD"
        ),
        "Wrong type"
    )
)</f>
        <v>1400111</v>
      </c>
    </row>
    <row r="290" spans="1:21" x14ac:dyDescent="0.25">
      <c r="A290" s="212"/>
      <c r="B290" s="212"/>
      <c r="N290" s="167"/>
      <c r="O290" s="9"/>
      <c r="P290" s="9"/>
      <c r="Q290" s="9"/>
      <c r="R290" s="9"/>
      <c r="S290" s="9"/>
      <c r="T290" s="9"/>
      <c r="U290" s="9"/>
    </row>
    <row r="291" spans="1:21" x14ac:dyDescent="0.25">
      <c r="A291" s="54" t="s">
        <v>418</v>
      </c>
      <c r="N291" s="167"/>
      <c r="O291" s="9"/>
      <c r="P291" s="9"/>
      <c r="Q291" s="9"/>
      <c r="R291" s="9"/>
      <c r="S291" s="9"/>
      <c r="T291" s="9"/>
      <c r="U291" s="9"/>
    </row>
    <row r="292" spans="1:21" ht="18.600000000000001" customHeight="1" x14ac:dyDescent="0.25">
      <c r="A292" s="207" t="s">
        <v>419</v>
      </c>
      <c r="B292" s="207"/>
      <c r="D292" s="14" t="s">
        <v>63</v>
      </c>
      <c r="E292" s="123" t="s">
        <v>8</v>
      </c>
      <c r="F292" s="5" t="s">
        <v>210</v>
      </c>
      <c r="G292" s="5" t="s">
        <v>9</v>
      </c>
      <c r="H292" s="14" t="s">
        <v>9</v>
      </c>
      <c r="K292" s="5"/>
      <c r="M292" s="10">
        <f>IF(AND(M34=1100, OR(M45="2R", M45="2L"), M41=900), 450+M36, "non std. arrangment")</f>
        <v>450</v>
      </c>
      <c r="N292" s="166">
        <f>IF(AND(N34=1100, N41=900, OR(N45="2R", N45="2L")), 450+N36,
IF(AND(N34=1600, N30="no", N41=1000, N45="2C"), 400+N36,
IF(AND(N34=1600, N30="yes", N41=1000, N45="2C"), 450+N36,
"non std. Arrangment")))</f>
        <v>450</v>
      </c>
      <c r="O292" s="10">
        <f>IF(AND(O34=1200, O41=1100, OR(O45="2R", O45="2L")), 600+O36,
IF(AND(O34=2000, O41=1100, O45="2C"), 550+O36,
"non std. arrangement"))</f>
        <v>600</v>
      </c>
      <c r="P292" s="10">
        <f>IF(AND(P34=2000,P41=1100,P45="2C"),550+P36,"Non std. Arrangment")</f>
        <v>560</v>
      </c>
      <c r="Q292" s="166" t="str">
        <f>IF(AND(Q34=1400, Q41=1300, Q45="4C"), 500+Q36,
IF(AND(Q34=2100,Q30="no", Q41=1300, Q45="4C"), 550+Q36,
IF(AND(Q34=2100,Q30="yes", Q41=1200, Q45="2C"), 550+Q36,
"non std. arrangement")))</f>
        <v>non std. arrangement</v>
      </c>
      <c r="R292" s="10" t="str">
        <f>IF(AND(R34=2100,R45="2C",R41=1200),550+R36,"non std. Arrangment")</f>
        <v>non std. Arrangment</v>
      </c>
      <c r="S292" s="10">
        <f>IF(AND(S34=1500, S45="4C", S41=1300), 575+S36,"no arragment matches")</f>
        <v>585</v>
      </c>
      <c r="T292" s="10">
        <f>IF(AND(T34=1800, T45="4C", T41=1500), 650+T36,"no arragment matches")</f>
        <v>660</v>
      </c>
      <c r="U292" s="10">
        <f>IF(AND(U34=2100, U45="4C", U41=1800), 750+U36,"no arragment matches")</f>
        <v>760</v>
      </c>
    </row>
    <row r="293" spans="1:21" ht="18.600000000000001" customHeight="1" x14ac:dyDescent="0.25">
      <c r="A293" s="207" t="s">
        <v>420</v>
      </c>
      <c r="B293" s="207"/>
      <c r="D293" s="14" t="s">
        <v>63</v>
      </c>
      <c r="E293" s="123" t="s">
        <v>8</v>
      </c>
      <c r="F293" s="5" t="s">
        <v>210</v>
      </c>
      <c r="G293" s="5" t="s">
        <v>9</v>
      </c>
      <c r="H293" s="14" t="s">
        <v>9</v>
      </c>
      <c r="K293" s="5"/>
      <c r="M293" s="10">
        <f>IF(AND(M34=1100, OR(M45="2R", M45="2L"), M41=900), 200+M36, "non std. arrangment")</f>
        <v>200</v>
      </c>
      <c r="N293" s="10">
        <f>IF(AND(N34=1100, N41=900, OR(N45="2R", N45="2L")), 200+N36,
IF(AND(N34=1600, N30="no", N41=1000, N45="2C"), 300+N36,
IF(AND(N34=1600,N30="yes", N41=1000, N45="2C"), 300+N36,
"non std. Arrangment")))</f>
        <v>200</v>
      </c>
      <c r="O293" s="10">
        <f>IF(AND(O34=1200, O41=1100, OR(O45="2R", O45="2L")), 200+O36,
IF(AND(O34=2000, O41=1100, O45="2C"), 250+O36,
"non std. arrangement"))</f>
        <v>200</v>
      </c>
      <c r="P293" s="10">
        <f>IF(AND(P34=2000,P41=1100,P45="2C"),250+P36,"Non std. Arrangment")</f>
        <v>260</v>
      </c>
      <c r="Q293" s="166" t="str">
        <f>IF(AND(Q34=1400, Q41=1300, Q45="4C"), 400+Q36,
IF(AND(Q34=2100,Q30="no", Q41=1300, Q45="4C"), 400+Q36,
IF(AND(Q34=2100,Q30="yes", Q41=1200, Q45="2C"), 250+Q36,
"non std. arrangement")))</f>
        <v>non std. arrangement</v>
      </c>
      <c r="R293" s="10" t="str">
        <f>IF(AND(R34=2100,R45="2C",R41=1200),250+R36,"non std. Arrangment")</f>
        <v>non std. Arrangment</v>
      </c>
      <c r="S293" s="10">
        <f>IF(AND(S34=1500, S45="4C", S41=1300), 375+S36,"no arragment matches")</f>
        <v>385</v>
      </c>
      <c r="T293" s="10">
        <f>IF(AND(T34=1800, T45="4C", T41=1500), 250+T36,"no arragment matches")</f>
        <v>260</v>
      </c>
      <c r="U293" s="10">
        <f>IF(AND(U34=2100, U45="4C", U41=1800), 430+U36,"no arragment matches")</f>
        <v>440</v>
      </c>
    </row>
    <row r="294" spans="1:21" x14ac:dyDescent="0.25">
      <c r="A294" s="207" t="s">
        <v>421</v>
      </c>
      <c r="B294" s="207"/>
      <c r="D294" s="14" t="s">
        <v>63</v>
      </c>
      <c r="E294" s="123" t="s">
        <v>8</v>
      </c>
      <c r="F294" s="57" t="s">
        <v>422</v>
      </c>
      <c r="G294" s="5" t="s">
        <v>9</v>
      </c>
      <c r="H294" s="14" t="s">
        <v>9</v>
      </c>
      <c r="K294" s="5"/>
      <c r="M294" s="5">
        <v>0</v>
      </c>
      <c r="N294" s="10">
        <v>0</v>
      </c>
      <c r="O294" s="10">
        <v>0</v>
      </c>
      <c r="P294" s="10">
        <v>0</v>
      </c>
      <c r="Q294" s="10">
        <v>0</v>
      </c>
      <c r="R294" s="10">
        <v>0</v>
      </c>
      <c r="S294" s="10">
        <v>0</v>
      </c>
      <c r="T294" s="10">
        <v>0</v>
      </c>
      <c r="U294" s="10">
        <v>0</v>
      </c>
    </row>
    <row r="295" spans="1:21" x14ac:dyDescent="0.25">
      <c r="A295" s="244" t="s">
        <v>423</v>
      </c>
      <c r="B295" s="244"/>
      <c r="D295" s="14" t="s">
        <v>63</v>
      </c>
      <c r="E295" s="123" t="s">
        <v>8</v>
      </c>
      <c r="F295" s="57" t="s">
        <v>424</v>
      </c>
      <c r="G295" s="5" t="s">
        <v>9</v>
      </c>
      <c r="H295" s="14" t="s">
        <v>9</v>
      </c>
      <c r="K295" s="5"/>
      <c r="M295" s="5">
        <f>M294*-1</f>
        <v>0</v>
      </c>
      <c r="N295" s="10">
        <f t="shared" ref="N295:Q295" si="38">N294*-1</f>
        <v>0</v>
      </c>
      <c r="O295" s="10">
        <f t="shared" si="38"/>
        <v>0</v>
      </c>
      <c r="P295" s="10">
        <f t="shared" si="38"/>
        <v>0</v>
      </c>
      <c r="Q295" s="10">
        <f t="shared" si="38"/>
        <v>0</v>
      </c>
      <c r="R295" s="10">
        <f t="shared" ref="R295:U295" si="39">R294*-1</f>
        <v>0</v>
      </c>
      <c r="S295" s="10">
        <f t="shared" si="39"/>
        <v>0</v>
      </c>
      <c r="T295" s="10">
        <f t="shared" si="39"/>
        <v>0</v>
      </c>
      <c r="U295" s="10">
        <f t="shared" si="39"/>
        <v>0</v>
      </c>
    </row>
    <row r="296" spans="1:21" x14ac:dyDescent="0.25">
      <c r="A296" s="245"/>
      <c r="B296" s="245"/>
      <c r="N296" s="9"/>
      <c r="O296" s="9"/>
      <c r="P296" s="9"/>
      <c r="Q296" s="9"/>
      <c r="R296" s="9"/>
      <c r="S296" s="9"/>
      <c r="T296" s="9"/>
      <c r="U296" s="9"/>
    </row>
    <row r="297" spans="1:21" x14ac:dyDescent="0.25">
      <c r="A297" s="212"/>
      <c r="B297" s="212"/>
      <c r="N297" s="9"/>
      <c r="O297" s="9"/>
      <c r="P297" s="9"/>
      <c r="Q297" s="9"/>
      <c r="R297" s="9"/>
      <c r="S297" s="9"/>
      <c r="T297" s="9"/>
      <c r="U297" s="9"/>
    </row>
    <row r="298" spans="1:21" x14ac:dyDescent="0.25">
      <c r="A298" s="203"/>
      <c r="B298" s="203"/>
      <c r="N298" s="167"/>
      <c r="O298" s="9"/>
      <c r="P298" s="9"/>
      <c r="Q298" s="9"/>
      <c r="R298" s="9"/>
      <c r="S298" s="9"/>
      <c r="T298" s="9"/>
      <c r="U298" s="9"/>
    </row>
    <row r="299" spans="1:21" x14ac:dyDescent="0.25">
      <c r="A299" s="242" t="s">
        <v>425</v>
      </c>
      <c r="B299" s="242"/>
      <c r="K299" s="71"/>
      <c r="M299" s="73"/>
      <c r="N299" s="167"/>
      <c r="O299" s="9"/>
      <c r="P299" s="9"/>
      <c r="Q299" s="9"/>
      <c r="R299" s="9"/>
      <c r="S299" s="9"/>
      <c r="T299" s="9"/>
      <c r="U299" s="9"/>
    </row>
    <row r="300" spans="1:21" x14ac:dyDescent="0.25">
      <c r="A300" s="205" t="s">
        <v>426</v>
      </c>
      <c r="B300" s="205"/>
      <c r="D300" s="15" t="s">
        <v>63</v>
      </c>
      <c r="E300" s="123" t="s">
        <v>8</v>
      </c>
      <c r="F300" s="99" t="s">
        <v>427</v>
      </c>
      <c r="G300" s="95" t="s">
        <v>9</v>
      </c>
      <c r="H300" s="14" t="s">
        <v>9</v>
      </c>
      <c r="K300" s="5" t="s">
        <v>428</v>
      </c>
      <c r="M300" s="5">
        <v>50</v>
      </c>
      <c r="N300" s="10">
        <v>50</v>
      </c>
      <c r="O300" s="10">
        <v>50</v>
      </c>
      <c r="P300" s="10">
        <v>50</v>
      </c>
      <c r="Q300" s="10">
        <v>50</v>
      </c>
      <c r="R300" s="10">
        <v>50</v>
      </c>
      <c r="S300" s="10">
        <v>50</v>
      </c>
      <c r="T300" s="10">
        <v>50</v>
      </c>
      <c r="U300" s="10">
        <v>50</v>
      </c>
    </row>
    <row r="301" spans="1:21" x14ac:dyDescent="0.25">
      <c r="A301" s="222" t="s">
        <v>429</v>
      </c>
      <c r="B301" s="222"/>
      <c r="D301" s="86" t="s">
        <v>63</v>
      </c>
      <c r="E301" s="123" t="s">
        <v>8</v>
      </c>
      <c r="F301" s="99" t="s">
        <v>430</v>
      </c>
      <c r="G301" s="95" t="s">
        <v>9</v>
      </c>
      <c r="H301" s="19" t="s">
        <v>9</v>
      </c>
      <c r="I301" s="8"/>
      <c r="J301" s="8"/>
      <c r="K301" s="12"/>
      <c r="M301" s="5">
        <f t="shared" ref="M301:U301" si="40">(M292-M300-M303)/2</f>
        <v>187.5</v>
      </c>
      <c r="N301" s="10">
        <f t="shared" si="40"/>
        <v>187.5</v>
      </c>
      <c r="O301" s="10">
        <f t="shared" si="40"/>
        <v>262.5</v>
      </c>
      <c r="P301" s="10">
        <f t="shared" si="40"/>
        <v>237.5</v>
      </c>
      <c r="Q301" s="10" t="e">
        <f t="shared" si="40"/>
        <v>#VALUE!</v>
      </c>
      <c r="R301" s="10" t="e">
        <f t="shared" si="40"/>
        <v>#VALUE!</v>
      </c>
      <c r="S301" s="10">
        <f t="shared" si="40"/>
        <v>250</v>
      </c>
      <c r="T301" s="10">
        <f t="shared" si="40"/>
        <v>287.5</v>
      </c>
      <c r="U301" s="10">
        <f t="shared" si="40"/>
        <v>337.5</v>
      </c>
    </row>
    <row r="302" spans="1:21" x14ac:dyDescent="0.25">
      <c r="A302" s="204" t="s">
        <v>431</v>
      </c>
      <c r="B302" s="204"/>
      <c r="D302" s="87" t="s">
        <v>63</v>
      </c>
      <c r="E302" s="123" t="s">
        <v>8</v>
      </c>
      <c r="F302" s="99" t="s">
        <v>432</v>
      </c>
      <c r="G302" s="95" t="s">
        <v>9</v>
      </c>
      <c r="H302" s="14" t="s">
        <v>9</v>
      </c>
      <c r="K302" s="5"/>
      <c r="M302" s="10">
        <f t="shared" ref="M302:U302" si="41">IF(M19="CWT-Left",M301,IF(M19="CWT-Right",M293-M305,"non std. CTW"))</f>
        <v>187.5</v>
      </c>
      <c r="N302" s="10">
        <f t="shared" si="41"/>
        <v>187.5</v>
      </c>
      <c r="O302" s="10">
        <f t="shared" si="41"/>
        <v>175</v>
      </c>
      <c r="P302" s="10">
        <f t="shared" si="41"/>
        <v>237.5</v>
      </c>
      <c r="Q302" s="10" t="e">
        <f t="shared" si="41"/>
        <v>#VALUE!</v>
      </c>
      <c r="R302" s="10" t="e">
        <f t="shared" si="41"/>
        <v>#VALUE!</v>
      </c>
      <c r="S302" s="10">
        <f t="shared" si="41"/>
        <v>250</v>
      </c>
      <c r="T302" s="10">
        <f t="shared" si="41"/>
        <v>225</v>
      </c>
      <c r="U302" s="10">
        <f t="shared" si="41"/>
        <v>337.5</v>
      </c>
    </row>
    <row r="303" spans="1:21" x14ac:dyDescent="0.25">
      <c r="A303" s="204" t="s">
        <v>433</v>
      </c>
      <c r="B303" s="204"/>
      <c r="D303" s="87" t="s">
        <v>63</v>
      </c>
      <c r="E303" s="123" t="s">
        <v>8</v>
      </c>
      <c r="F303" s="99" t="s">
        <v>434</v>
      </c>
      <c r="G303" s="95" t="s">
        <v>9</v>
      </c>
      <c r="H303" s="14" t="s">
        <v>9</v>
      </c>
      <c r="K303" s="5" t="s">
        <v>435</v>
      </c>
      <c r="M303" s="10">
        <f t="shared" ref="M303:U303" si="42">25+M36</f>
        <v>25</v>
      </c>
      <c r="N303" s="10">
        <f t="shared" si="42"/>
        <v>25</v>
      </c>
      <c r="O303" s="10">
        <f t="shared" si="42"/>
        <v>25</v>
      </c>
      <c r="P303" s="10">
        <f t="shared" si="42"/>
        <v>35</v>
      </c>
      <c r="Q303" s="10">
        <f t="shared" si="42"/>
        <v>25</v>
      </c>
      <c r="R303" s="10">
        <f t="shared" si="42"/>
        <v>35</v>
      </c>
      <c r="S303" s="10">
        <f t="shared" si="42"/>
        <v>35</v>
      </c>
      <c r="T303" s="10">
        <f t="shared" si="42"/>
        <v>35</v>
      </c>
      <c r="U303" s="10">
        <f t="shared" si="42"/>
        <v>35</v>
      </c>
    </row>
    <row r="304" spans="1:21" x14ac:dyDescent="0.25">
      <c r="A304" s="204" t="s">
        <v>436</v>
      </c>
      <c r="B304" s="204"/>
      <c r="D304" s="87" t="s">
        <v>63</v>
      </c>
      <c r="E304" s="123" t="s">
        <v>8</v>
      </c>
      <c r="F304" s="99" t="s">
        <v>64</v>
      </c>
      <c r="G304" s="95" t="s">
        <v>9</v>
      </c>
      <c r="H304" s="14" t="s">
        <v>9</v>
      </c>
      <c r="I304" s="45"/>
      <c r="K304" s="5" t="s">
        <v>437</v>
      </c>
      <c r="M304" s="10">
        <f t="shared" ref="M304:U304" si="43">M34</f>
        <v>1100</v>
      </c>
      <c r="N304" s="10">
        <f t="shared" si="43"/>
        <v>1100</v>
      </c>
      <c r="O304" s="10">
        <f t="shared" si="43"/>
        <v>1200</v>
      </c>
      <c r="P304" s="10">
        <f t="shared" si="43"/>
        <v>2000</v>
      </c>
      <c r="Q304" s="10">
        <f t="shared" si="43"/>
        <v>2100</v>
      </c>
      <c r="R304" s="10" t="str">
        <f t="shared" si="43"/>
        <v>Wrong shape</v>
      </c>
      <c r="S304" s="10">
        <f t="shared" si="43"/>
        <v>1500</v>
      </c>
      <c r="T304" s="10">
        <f t="shared" si="43"/>
        <v>1800</v>
      </c>
      <c r="U304" s="10">
        <f t="shared" si="43"/>
        <v>2100</v>
      </c>
    </row>
    <row r="305" spans="1:21" x14ac:dyDescent="0.25">
      <c r="A305" s="204" t="s">
        <v>438</v>
      </c>
      <c r="B305" s="204"/>
      <c r="D305" s="87" t="s">
        <v>63</v>
      </c>
      <c r="E305" s="123" t="s">
        <v>8</v>
      </c>
      <c r="F305" s="99" t="s">
        <v>439</v>
      </c>
      <c r="G305" s="95" t="s">
        <v>9</v>
      </c>
      <c r="H305" s="14" t="s">
        <v>9</v>
      </c>
      <c r="K305" s="5" t="s">
        <v>435</v>
      </c>
      <c r="M305" s="10">
        <f t="shared" ref="M305:U305" si="44">25+M36</f>
        <v>25</v>
      </c>
      <c r="N305" s="10">
        <f t="shared" si="44"/>
        <v>25</v>
      </c>
      <c r="O305" s="10">
        <f t="shared" si="44"/>
        <v>25</v>
      </c>
      <c r="P305" s="10">
        <f t="shared" si="44"/>
        <v>35</v>
      </c>
      <c r="Q305" s="10">
        <f t="shared" si="44"/>
        <v>25</v>
      </c>
      <c r="R305" s="10">
        <f t="shared" si="44"/>
        <v>35</v>
      </c>
      <c r="S305" s="10">
        <f t="shared" si="44"/>
        <v>35</v>
      </c>
      <c r="T305" s="10">
        <f t="shared" si="44"/>
        <v>35</v>
      </c>
      <c r="U305" s="10">
        <f t="shared" si="44"/>
        <v>35</v>
      </c>
    </row>
    <row r="306" spans="1:21" x14ac:dyDescent="0.25">
      <c r="A306" s="204" t="s">
        <v>440</v>
      </c>
      <c r="B306" s="204"/>
      <c r="D306" s="87" t="s">
        <v>63</v>
      </c>
      <c r="E306" s="123" t="s">
        <v>8</v>
      </c>
      <c r="F306" s="99" t="s">
        <v>441</v>
      </c>
      <c r="G306" s="95" t="s">
        <v>9</v>
      </c>
      <c r="H306" s="14" t="s">
        <v>9</v>
      </c>
      <c r="K306" s="5" t="s">
        <v>442</v>
      </c>
      <c r="M306" s="5">
        <f t="shared" ref="M306:U306" si="45">IF(M19="CWT-Right",M301,IF(M19="CWT-Left",M293-M305,"non std. CTW"))</f>
        <v>175</v>
      </c>
      <c r="N306" s="10">
        <f t="shared" si="45"/>
        <v>175</v>
      </c>
      <c r="O306" s="10">
        <f t="shared" si="45"/>
        <v>262.5</v>
      </c>
      <c r="P306" s="10">
        <f t="shared" si="45"/>
        <v>225</v>
      </c>
      <c r="Q306" s="10" t="e">
        <f t="shared" si="45"/>
        <v>#VALUE!</v>
      </c>
      <c r="R306" s="10" t="e">
        <f t="shared" si="45"/>
        <v>#VALUE!</v>
      </c>
      <c r="S306" s="10">
        <f t="shared" si="45"/>
        <v>350</v>
      </c>
      <c r="T306" s="10">
        <f t="shared" si="45"/>
        <v>287.5</v>
      </c>
      <c r="U306" s="10">
        <f t="shared" si="45"/>
        <v>405</v>
      </c>
    </row>
    <row r="307" spans="1:21" x14ac:dyDescent="0.25">
      <c r="A307" s="202"/>
      <c r="B307" s="202"/>
      <c r="K307" s="5"/>
      <c r="M307" s="5"/>
      <c r="N307" s="10"/>
      <c r="O307" s="10"/>
      <c r="P307" s="10"/>
      <c r="Q307" s="10"/>
      <c r="R307" s="10"/>
      <c r="S307" s="10"/>
      <c r="T307" s="10"/>
      <c r="U307" s="10"/>
    </row>
    <row r="308" spans="1:21" x14ac:dyDescent="0.25">
      <c r="A308" s="203"/>
      <c r="B308" s="203"/>
      <c r="K308" s="5" t="s">
        <v>443</v>
      </c>
      <c r="M308" s="5" t="str">
        <f t="shared" ref="M308:U308" si="46">IF(SUM(M300:M306)=M54,"SW matches","SW dont match")</f>
        <v>SW matches</v>
      </c>
      <c r="N308" s="5" t="str">
        <f t="shared" si="46"/>
        <v>SW matches</v>
      </c>
      <c r="O308" s="5" t="str">
        <f t="shared" si="46"/>
        <v>SW matches</v>
      </c>
      <c r="P308" s="5" t="str">
        <f t="shared" si="46"/>
        <v>SW matches</v>
      </c>
      <c r="Q308" s="5" t="e">
        <f t="shared" si="46"/>
        <v>#VALUE!</v>
      </c>
      <c r="R308" s="5" t="e">
        <f t="shared" si="46"/>
        <v>#VALUE!</v>
      </c>
      <c r="S308" s="5" t="str">
        <f t="shared" si="46"/>
        <v>SW dont match</v>
      </c>
      <c r="T308" s="5" t="str">
        <f t="shared" si="46"/>
        <v>SW matches</v>
      </c>
      <c r="U308" s="5" t="str">
        <f t="shared" si="46"/>
        <v>SW dont match</v>
      </c>
    </row>
    <row r="309" spans="1:21" x14ac:dyDescent="0.25">
      <c r="A309" s="203"/>
      <c r="B309" s="203"/>
    </row>
    <row r="310" spans="1:21" x14ac:dyDescent="0.25">
      <c r="A310" s="209" t="s">
        <v>444</v>
      </c>
      <c r="B310" s="209"/>
      <c r="K310" s="74" t="s">
        <v>445</v>
      </c>
    </row>
    <row r="311" spans="1:21" x14ac:dyDescent="0.25">
      <c r="A311" s="209" t="s">
        <v>446</v>
      </c>
      <c r="B311" s="209"/>
      <c r="M311" s="2" t="str">
        <f t="shared" ref="M311:U311" si="47">IF(M29="Front + Rear", (M58-M35)/2,"wrong acces type")</f>
        <v>wrong acces type</v>
      </c>
      <c r="N311" s="2" t="str">
        <f t="shared" si="47"/>
        <v>wrong acces type</v>
      </c>
      <c r="O311" s="2" t="str">
        <f t="shared" si="47"/>
        <v>wrong acces type</v>
      </c>
      <c r="P311" s="2">
        <f t="shared" si="47"/>
        <v>325</v>
      </c>
      <c r="Q311" s="2" t="str">
        <f t="shared" si="47"/>
        <v>wrong acces type</v>
      </c>
      <c r="R311" s="2" t="e">
        <f t="shared" si="47"/>
        <v>#VALUE!</v>
      </c>
      <c r="S311" s="2">
        <f t="shared" si="47"/>
        <v>325</v>
      </c>
      <c r="T311" s="2">
        <f t="shared" si="47"/>
        <v>325</v>
      </c>
      <c r="U311" s="2">
        <f t="shared" si="47"/>
        <v>325</v>
      </c>
    </row>
    <row r="312" spans="1:21" x14ac:dyDescent="0.25">
      <c r="A312" s="228" t="s">
        <v>447</v>
      </c>
      <c r="B312" s="228"/>
      <c r="D312" s="15" t="s">
        <v>63</v>
      </c>
      <c r="E312" s="123" t="s">
        <v>8</v>
      </c>
      <c r="F312" s="99" t="s">
        <v>448</v>
      </c>
      <c r="G312" s="154" t="s">
        <v>9</v>
      </c>
      <c r="H312" s="36" t="s">
        <v>9</v>
      </c>
      <c r="K312" s="5" t="s">
        <v>449</v>
      </c>
      <c r="M312" s="5">
        <v>0</v>
      </c>
      <c r="N312" s="5">
        <v>0</v>
      </c>
      <c r="O312" s="5">
        <v>0</v>
      </c>
      <c r="P312" s="5">
        <v>0</v>
      </c>
      <c r="Q312" s="5">
        <v>0</v>
      </c>
      <c r="R312" s="5">
        <v>0</v>
      </c>
      <c r="S312" s="5">
        <v>0</v>
      </c>
      <c r="T312" s="5">
        <v>0</v>
      </c>
      <c r="U312" s="5">
        <v>0</v>
      </c>
    </row>
    <row r="313" spans="1:21" x14ac:dyDescent="0.25">
      <c r="A313" s="229" t="s">
        <v>450</v>
      </c>
      <c r="B313" s="229"/>
      <c r="D313" s="13" t="s">
        <v>63</v>
      </c>
      <c r="E313" s="123" t="s">
        <v>8</v>
      </c>
      <c r="F313" s="99" t="s">
        <v>451</v>
      </c>
      <c r="G313" s="154" t="s">
        <v>9</v>
      </c>
      <c r="H313" s="36" t="s">
        <v>9</v>
      </c>
      <c r="K313" s="20" t="s">
        <v>452</v>
      </c>
      <c r="M313" s="134">
        <f>IF(M277="common component",25,IF(M277="Meiller",0,"non std door type"))</f>
        <v>25</v>
      </c>
      <c r="N313" s="134">
        <f t="shared" ref="N313:U313" si="48">IF(N277="common component",25,IF(N277="Meiller",0,"non std door type"))</f>
        <v>25</v>
      </c>
      <c r="O313" s="134">
        <f t="shared" si="48"/>
        <v>25</v>
      </c>
      <c r="P313" s="134">
        <f t="shared" si="48"/>
        <v>0</v>
      </c>
      <c r="Q313" s="134">
        <f t="shared" si="48"/>
        <v>0</v>
      </c>
      <c r="R313" s="134">
        <f t="shared" si="48"/>
        <v>0</v>
      </c>
      <c r="S313" s="134">
        <f t="shared" si="48"/>
        <v>0</v>
      </c>
      <c r="T313" s="134">
        <f t="shared" si="48"/>
        <v>0</v>
      </c>
      <c r="U313" s="134">
        <f t="shared" si="48"/>
        <v>0</v>
      </c>
    </row>
    <row r="314" spans="1:21" x14ac:dyDescent="0.25">
      <c r="A314" s="210" t="s">
        <v>453</v>
      </c>
      <c r="B314" s="210"/>
      <c r="D314" s="15" t="s">
        <v>63</v>
      </c>
      <c r="E314" s="123" t="s">
        <v>8</v>
      </c>
      <c r="F314" s="95" t="s">
        <v>16</v>
      </c>
      <c r="G314" s="154" t="s">
        <v>9</v>
      </c>
      <c r="H314" s="36" t="s">
        <v>9</v>
      </c>
      <c r="K314" s="5" t="s">
        <v>454</v>
      </c>
      <c r="M314" s="57">
        <f>IF(
    M277="Common component",
    _xlfn.XLOOKUP(
        M45,
        selection!$C$94:$G$94,
        selection!$C$107:$G$107
    ),
    IF(
        M277="Meiller",
        _xlfn.XLOOKUP(
            M45,
            selection!$K$94:$O$94,
            selection!$K$112:$O$112
        ),
        "Wrong type"
    )
)</f>
        <v>150</v>
      </c>
      <c r="N314" s="57">
        <f>IF(
    N277="Common component",
    _xlfn.XLOOKUP(
        N45,
        selection!$C$94:$G$94,
        selection!$C$107:$G$107
    ),
    IF(
        N277="Meiller",
        _xlfn.XLOOKUP(
            N45,
            selection!$K$94:$O$94,
            selection!$K$112:$O$112
        ),
        "Wrong type"
    )
)</f>
        <v>150</v>
      </c>
      <c r="O314" s="57">
        <f>IF(
    O277="Common component",
    _xlfn.XLOOKUP(
        O45,
        selection!$C$94:$G$94,
        selection!$C$107:$G$107
    ),
    IF(
        O277="Meiller",
        _xlfn.XLOOKUP(
            O45,
            selection!$K$94:$O$94,
            selection!$K$112:$O$112
        ),
        "Wrong type"
    )
)</f>
        <v>150</v>
      </c>
      <c r="P314" s="57">
        <f>IF(
    P277="Common component",
    _xlfn.XLOOKUP(
        P45,
        selection!$C$94:$G$94,
        selection!$C$107:$G$107
    ),
    IF(
        P277="Meiller",
        _xlfn.XLOOKUP(
            P45,
            selection!$K$94:$O$94,
            selection!$K$112:$O$112
        ),
        "Wrong type"
    )
)</f>
        <v>120</v>
      </c>
      <c r="Q314" s="57">
        <f>IF(
    Q277="Common component",
    _xlfn.XLOOKUP(
        Q45,
        selection!$C$94:$G$94,
        selection!$C$107:$G$107
    ),
    IF(
        Q277="Meiller",
        _xlfn.XLOOKUP(
            Q45,
            selection!$K$94:$O$94,
            selection!$K$112:$O$112
        ),
        "Wrong type"
    )
)</f>
        <v>120</v>
      </c>
      <c r="R314" s="57">
        <f>IF(
    R277="Common component",
    _xlfn.XLOOKUP(
        R45,
        selection!$C$94:$G$94,
        selection!$C$107:$G$107
    ),
    IF(
        R277="Meiller",
        _xlfn.XLOOKUP(
            R45,
            selection!$K$94:$O$94,
            selection!$K$112:$O$112
        ),
        "Wrong type"
    )
)</f>
        <v>120</v>
      </c>
      <c r="S314" s="57">
        <f>IF(
    S277="Common component",
    _xlfn.XLOOKUP(
        S45,
        selection!$C$94:$G$94,
        selection!$C$107:$G$107
    ),
    IF(
        S277="Meiller",
        _xlfn.XLOOKUP(
            S45,
            selection!$K$94:$O$94,
            selection!$K$112:$O$112
        ),
        "Wrong type"
    )
)</f>
        <v>120</v>
      </c>
      <c r="T314" s="57">
        <f>IF(
    T277="Common component",
    _xlfn.XLOOKUP(
        T45,
        selection!$C$94:$G$94,
        selection!$C$107:$G$107
    ),
    IF(
        T277="Meiller",
        _xlfn.XLOOKUP(
            T45,
            selection!$K$94:$O$94,
            selection!$K$112:$O$112
        ),
        "Wrong type"
    )
)</f>
        <v>120</v>
      </c>
      <c r="U314" s="57">
        <f>IF(
    U277="Common component",
    _xlfn.XLOOKUP(
        U45,
        selection!$C$94:$G$94,
        selection!$C$107:$G$107
    ),
    IF(
        U277="Meiller",
        _xlfn.XLOOKUP(
            U45,
            selection!$K$94:$O$94,
            selection!$K$112:$O$112
        ),
        "Wrong type"
    )
)</f>
        <v>120</v>
      </c>
    </row>
    <row r="315" spans="1:21" x14ac:dyDescent="0.25">
      <c r="A315" s="210" t="s">
        <v>455</v>
      </c>
      <c r="B315" s="210"/>
      <c r="D315" s="15" t="s">
        <v>63</v>
      </c>
      <c r="E315" s="123" t="s">
        <v>8</v>
      </c>
      <c r="F315" s="99" t="s">
        <v>456</v>
      </c>
      <c r="G315" s="154" t="s">
        <v>9</v>
      </c>
      <c r="H315" s="36" t="s">
        <v>9</v>
      </c>
      <c r="K315" s="5" t="s">
        <v>457</v>
      </c>
      <c r="M315" s="5">
        <v>30</v>
      </c>
      <c r="N315" s="5">
        <v>30</v>
      </c>
      <c r="O315" s="5">
        <v>30</v>
      </c>
      <c r="P315" s="5">
        <v>30</v>
      </c>
      <c r="Q315" s="5">
        <v>30</v>
      </c>
      <c r="R315" s="5">
        <v>30</v>
      </c>
      <c r="S315" s="5">
        <v>30</v>
      </c>
      <c r="T315" s="5">
        <v>30</v>
      </c>
      <c r="U315" s="5">
        <v>30</v>
      </c>
    </row>
    <row r="316" spans="1:21" x14ac:dyDescent="0.25">
      <c r="A316" s="210" t="s">
        <v>458</v>
      </c>
      <c r="B316" s="210"/>
      <c r="D316" s="15" t="s">
        <v>63</v>
      </c>
      <c r="E316" s="123" t="s">
        <v>8</v>
      </c>
      <c r="F316" s="95" t="s">
        <v>16</v>
      </c>
      <c r="G316" s="154" t="s">
        <v>9</v>
      </c>
      <c r="H316" s="36" t="s">
        <v>9</v>
      </c>
      <c r="K316" s="5" t="s">
        <v>454</v>
      </c>
      <c r="M316" s="57">
        <f>IF(
    M277="Common component",
    _xlfn.XLOOKUP(
        M45,
        selection!$C$109:$G$109,
        selection!$C$121:$G$121
    ),
    IF(
        M277="Meiller",
        _xlfn.XLOOKUP(
            M45,
            selection!$K$115:$O$115,
            selection!$K$134:$O$134
        ),
        "Wrong type"
    )
)</f>
        <v>90</v>
      </c>
      <c r="N316" s="57">
        <f>IF(
    N277="Common component",
    _xlfn.XLOOKUP(
        N45,
        selection!$C$109:$G$109,
        selection!$C$121:$G$121
    ),
    IF(
        N277="Meiller",
        _xlfn.XLOOKUP(
            N45,
            selection!$K$115:$O$115,
            selection!$K$134:$O$134
        ),
        "Wrong type"
    )
)</f>
        <v>90</v>
      </c>
      <c r="O316" s="57">
        <f>IF(
    O277="Common component",
    _xlfn.XLOOKUP(
        O45,
        selection!$C$109:$G$109,
        selection!$C$121:$G$121
    ),
    IF(
        O277="Meiller",
        _xlfn.XLOOKUP(
            O45,
            selection!$K$115:$O$115,
            selection!$K$134:$O$134
        ),
        "Wrong type"
    )
)</f>
        <v>90</v>
      </c>
      <c r="P316" s="57">
        <f>IF(
    P277="Common component",
    _xlfn.XLOOKUP(
        P45,
        selection!$C$109:$G$109,
        selection!$C$121:$G$121
    ),
    IF(
        P277="Meiller",
        _xlfn.XLOOKUP(
            P45,
            selection!$K$115:$O$115,
            selection!$K$134:$O$134
        ),
        "Wrong type"
    )
)</f>
        <v>91</v>
      </c>
      <c r="Q316" s="57">
        <f>IF(
    Q277="Common component",
    _xlfn.XLOOKUP(
        Q45,
        selection!$C$109:$G$109,
        selection!$C$121:$G$121
    ),
    IF(
        Q277="Meiller",
        _xlfn.XLOOKUP(
            Q45,
            selection!$K$115:$O$115,
            selection!$K$134:$O$134
        ),
        "Wrong type"
    )
)</f>
        <v>91</v>
      </c>
      <c r="R316" s="57">
        <f>IF(
    R277="Common component",
    _xlfn.XLOOKUP(
        R45,
        selection!$C$109:$G$109,
        selection!$C$121:$G$121
    ),
    IF(
        R277="Meiller",
        _xlfn.XLOOKUP(
            R45,
            selection!$K$115:$O$115,
            selection!$K$134:$O$134
        ),
        "Wrong type"
    )
)</f>
        <v>91</v>
      </c>
      <c r="S316" s="57">
        <f>IF(
    S277="Common component",
    _xlfn.XLOOKUP(
        S45,
        selection!$C$109:$G$109,
        selection!$C$121:$G$121
    ),
    IF(
        S277="Meiller",
        _xlfn.XLOOKUP(
            S45,
            selection!$K$115:$O$115,
            selection!$K$134:$O$134
        ),
        "Wrong type"
    )
)</f>
        <v>91</v>
      </c>
      <c r="T316" s="57">
        <f>IF(
    T277="Common component",
    _xlfn.XLOOKUP(
        T45,
        selection!$C$109:$G$109,
        selection!$C$121:$G$121
    ),
    IF(
        T277="Meiller",
        _xlfn.XLOOKUP(
            T45,
            selection!$K$115:$O$115,
            selection!$K$134:$O$134
        ),
        "Wrong type"
    )
)</f>
        <v>91</v>
      </c>
      <c r="U316" s="57">
        <f>IF(
    U277="Common component",
    _xlfn.XLOOKUP(
        U45,
        selection!$C$109:$G$109,
        selection!$C$121:$G$121
    ),
    IF(
        U277="Meiller",
        _xlfn.XLOOKUP(
            U45,
            selection!$K$115:$O$115,
            selection!$K$134:$O$134
        ),
        "Wrong type"
    )
)</f>
        <v>91</v>
      </c>
    </row>
    <row r="317" spans="1:21" x14ac:dyDescent="0.25">
      <c r="A317" s="210" t="s">
        <v>459</v>
      </c>
      <c r="B317" s="210"/>
      <c r="D317" s="15" t="s">
        <v>63</v>
      </c>
      <c r="E317" s="123" t="s">
        <v>8</v>
      </c>
      <c r="F317" s="99" t="s">
        <v>460</v>
      </c>
      <c r="G317" s="154" t="s">
        <v>9</v>
      </c>
      <c r="H317" s="36" t="s">
        <v>9</v>
      </c>
      <c r="K317" s="5" t="s">
        <v>461</v>
      </c>
      <c r="M317" s="57" t="e">
        <f>M311-SUM(M312:M316)</f>
        <v>#VALUE!</v>
      </c>
      <c r="N317" s="57" t="e">
        <f t="shared" ref="N317:U317" si="49">N311-SUM(N312:N316)</f>
        <v>#VALUE!</v>
      </c>
      <c r="O317" s="57" t="e">
        <f t="shared" si="49"/>
        <v>#VALUE!</v>
      </c>
      <c r="P317" s="57">
        <f t="shared" si="49"/>
        <v>84</v>
      </c>
      <c r="Q317" s="57" t="e">
        <f t="shared" si="49"/>
        <v>#VALUE!</v>
      </c>
      <c r="R317" s="57" t="e">
        <f t="shared" si="49"/>
        <v>#VALUE!</v>
      </c>
      <c r="S317" s="57">
        <f t="shared" si="49"/>
        <v>84</v>
      </c>
      <c r="T317" s="57">
        <f t="shared" si="49"/>
        <v>84</v>
      </c>
      <c r="U317" s="57">
        <f t="shared" si="49"/>
        <v>84</v>
      </c>
    </row>
    <row r="318" spans="1:21" x14ac:dyDescent="0.25">
      <c r="A318" s="210" t="s">
        <v>462</v>
      </c>
      <c r="B318" s="210"/>
      <c r="D318" s="15" t="s">
        <v>63</v>
      </c>
      <c r="E318" s="123" t="s">
        <v>8</v>
      </c>
      <c r="F318" s="99" t="s">
        <v>68</v>
      </c>
      <c r="G318" s="154" t="s">
        <v>9</v>
      </c>
      <c r="H318" s="36" t="s">
        <v>9</v>
      </c>
      <c r="K318" s="5" t="s">
        <v>437</v>
      </c>
      <c r="M318" s="5">
        <f t="shared" ref="M318:U318" si="50">M35</f>
        <v>1400</v>
      </c>
      <c r="N318" s="5">
        <f t="shared" si="50"/>
        <v>2100</v>
      </c>
      <c r="O318" s="5">
        <f t="shared" si="50"/>
        <v>2300</v>
      </c>
      <c r="P318" s="5">
        <f t="shared" si="50"/>
        <v>1500</v>
      </c>
      <c r="Q318" s="5">
        <f t="shared" si="50"/>
        <v>1600</v>
      </c>
      <c r="R318" s="5" t="str">
        <f t="shared" si="50"/>
        <v>non std. Cabin type</v>
      </c>
      <c r="S318" s="5">
        <f t="shared" si="50"/>
        <v>2700</v>
      </c>
      <c r="T318" s="5">
        <f t="shared" si="50"/>
        <v>2700</v>
      </c>
      <c r="U318" s="5">
        <f t="shared" si="50"/>
        <v>3000</v>
      </c>
    </row>
    <row r="319" spans="1:21" x14ac:dyDescent="0.25">
      <c r="A319" s="210" t="s">
        <v>463</v>
      </c>
      <c r="B319" s="210"/>
      <c r="D319" s="15" t="s">
        <v>63</v>
      </c>
      <c r="E319" s="123" t="s">
        <v>8</v>
      </c>
      <c r="F319" s="99" t="s">
        <v>464</v>
      </c>
      <c r="G319" s="154" t="s">
        <v>9</v>
      </c>
      <c r="H319" s="36" t="s">
        <v>9</v>
      </c>
      <c r="K319" s="5" t="s">
        <v>465</v>
      </c>
      <c r="M319" s="57" t="e">
        <f>M311-SUM(M320:M324)</f>
        <v>#VALUE!</v>
      </c>
      <c r="N319" s="57" t="e">
        <f t="shared" ref="N319:U319" si="51">N311-SUM(N320:N324)</f>
        <v>#VALUE!</v>
      </c>
      <c r="O319" s="57" t="e">
        <f t="shared" si="51"/>
        <v>#VALUE!</v>
      </c>
      <c r="P319" s="57">
        <f t="shared" si="51"/>
        <v>84</v>
      </c>
      <c r="Q319" s="57" t="e">
        <f t="shared" si="51"/>
        <v>#VALUE!</v>
      </c>
      <c r="R319" s="57" t="e">
        <f t="shared" si="51"/>
        <v>#VALUE!</v>
      </c>
      <c r="S319" s="57">
        <f t="shared" si="51"/>
        <v>84</v>
      </c>
      <c r="T319" s="57">
        <f t="shared" si="51"/>
        <v>84</v>
      </c>
      <c r="U319" s="57">
        <f t="shared" si="51"/>
        <v>84</v>
      </c>
    </row>
    <row r="320" spans="1:21" x14ac:dyDescent="0.25">
      <c r="A320" s="210" t="s">
        <v>466</v>
      </c>
      <c r="B320" s="210"/>
      <c r="D320" s="15" t="s">
        <v>63</v>
      </c>
      <c r="E320" s="123" t="s">
        <v>8</v>
      </c>
      <c r="F320" s="95" t="s">
        <v>16</v>
      </c>
      <c r="G320" s="154" t="s">
        <v>9</v>
      </c>
      <c r="H320" s="36" t="s">
        <v>9</v>
      </c>
      <c r="K320" s="5" t="s">
        <v>454</v>
      </c>
      <c r="M320" s="57">
        <f>IF(
    M277="Common component",
    _xlfn.XLOOKUP(
        M45,
        selection!$C$109:$G$109,
        selection!$C$121:$G$121
    ),
    IF(
        M277="Meiller",
        _xlfn.XLOOKUP(
            M45,
            selection!$K$115:$O$115,
            selection!$K$134:$O$134
        ),
        "Wrong type"
    )
)</f>
        <v>90</v>
      </c>
      <c r="N320" s="57">
        <f>IF(
    N277="Common component",
    _xlfn.XLOOKUP(
        N45,
        selection!$C$109:$G$109,
        selection!$C$121:$G$121
    ),
    IF(
        N277="Meiller",
        _xlfn.XLOOKUP(
            N45,
            selection!$K$115:$O$115,
            selection!$K$134:$O$134
        ),
        "Wrong type"
    )
)</f>
        <v>90</v>
      </c>
      <c r="O320" s="57">
        <f>IF(
    O277="Common component",
    _xlfn.XLOOKUP(
        O45,
        selection!$C$109:$G$109,
        selection!$C$121:$G$121
    ),
    IF(
        O277="Meiller",
        _xlfn.XLOOKUP(
            O45,
            selection!$K$115:$O$115,
            selection!$K$134:$O$134
        ),
        "Wrong type"
    )
)</f>
        <v>90</v>
      </c>
      <c r="P320" s="57">
        <f>IF(
    P277="Common component",
    _xlfn.XLOOKUP(
        P45,
        selection!$C$109:$G$109,
        selection!$C$121:$G$121
    ),
    IF(
        P277="Meiller",
        _xlfn.XLOOKUP(
            P45,
            selection!$K$115:$O$115,
            selection!$K$134:$O$134
        ),
        "Wrong type"
    )
)</f>
        <v>91</v>
      </c>
      <c r="Q320" s="57">
        <f>IF(
    Q277="Common component",
    _xlfn.XLOOKUP(
        Q45,
        selection!$C$109:$G$109,
        selection!$C$121:$G$121
    ),
    IF(
        Q277="Meiller",
        _xlfn.XLOOKUP(
            Q45,
            selection!$K$115:$O$115,
            selection!$K$134:$O$134
        ),
        "Wrong type"
    )
)</f>
        <v>91</v>
      </c>
      <c r="R320" s="57">
        <f>IF(
    R277="Common component",
    _xlfn.XLOOKUP(
        R45,
        selection!$C$109:$G$109,
        selection!$C$121:$G$121
    ),
    IF(
        R277="Meiller",
        _xlfn.XLOOKUP(
            R45,
            selection!$K$115:$O$115,
            selection!$K$134:$O$134
        ),
        "Wrong type"
    )
)</f>
        <v>91</v>
      </c>
      <c r="S320" s="57">
        <f>IF(
    S277="Common component",
    _xlfn.XLOOKUP(
        S45,
        selection!$C$109:$G$109,
        selection!$C$121:$G$121
    ),
    IF(
        S277="Meiller",
        _xlfn.XLOOKUP(
            S45,
            selection!$K$115:$O$115,
            selection!$K$134:$O$134
        ),
        "Wrong type"
    )
)</f>
        <v>91</v>
      </c>
      <c r="T320" s="57">
        <f>IF(
    T277="Common component",
    _xlfn.XLOOKUP(
        T45,
        selection!$C$109:$G$109,
        selection!$C$121:$G$121
    ),
    IF(
        T277="Meiller",
        _xlfn.XLOOKUP(
            T45,
            selection!$K$115:$O$115,
            selection!$K$134:$O$134
        ),
        "Wrong type"
    )
)</f>
        <v>91</v>
      </c>
      <c r="U320" s="57">
        <f>IF(
    U277="Common component",
    _xlfn.XLOOKUP(
        U45,
        selection!$C$109:$G$109,
        selection!$C$121:$G$121
    ),
    IF(
        U277="Meiller",
        _xlfn.XLOOKUP(
            U45,
            selection!$K$115:$O$115,
            selection!$K$134:$O$134
        ),
        "Wrong type"
    )
)</f>
        <v>91</v>
      </c>
    </row>
    <row r="321" spans="1:21" x14ac:dyDescent="0.25">
      <c r="A321" s="210" t="s">
        <v>467</v>
      </c>
      <c r="B321" s="210"/>
      <c r="D321" s="15" t="s">
        <v>63</v>
      </c>
      <c r="E321" s="123" t="s">
        <v>8</v>
      </c>
      <c r="F321" s="99" t="s">
        <v>468</v>
      </c>
      <c r="G321" s="154" t="s">
        <v>9</v>
      </c>
      <c r="H321" s="36" t="s">
        <v>9</v>
      </c>
      <c r="K321" s="5" t="s">
        <v>457</v>
      </c>
      <c r="M321" s="5">
        <v>30</v>
      </c>
      <c r="N321" s="5">
        <v>30</v>
      </c>
      <c r="O321" s="5">
        <v>30</v>
      </c>
      <c r="P321" s="5">
        <v>30</v>
      </c>
      <c r="Q321" s="5">
        <v>30</v>
      </c>
      <c r="R321" s="5">
        <v>30</v>
      </c>
      <c r="S321" s="5">
        <v>30</v>
      </c>
      <c r="T321" s="5">
        <v>30</v>
      </c>
      <c r="U321" s="5">
        <v>30</v>
      </c>
    </row>
    <row r="322" spans="1:21" x14ac:dyDescent="0.25">
      <c r="A322" s="210" t="s">
        <v>469</v>
      </c>
      <c r="B322" s="210"/>
      <c r="D322" s="15" t="s">
        <v>63</v>
      </c>
      <c r="E322" s="123" t="s">
        <v>8</v>
      </c>
      <c r="F322" s="95" t="s">
        <v>16</v>
      </c>
      <c r="G322" s="154" t="s">
        <v>9</v>
      </c>
      <c r="H322" s="36" t="s">
        <v>9</v>
      </c>
      <c r="K322" s="5" t="s">
        <v>454</v>
      </c>
      <c r="M322" s="57">
        <f>IF(
    M277="Common component",
    _xlfn.XLOOKUP(
        M45,
        selection!$C$94:$G$94,
        selection!$C$107:$G$107
    ),
    IF(
        M277="Meiller",
        _xlfn.XLOOKUP(
            M45,
            selection!$K$94:$O$94,
            selection!$K$112:$O$112
        ),
        "Wrong type"
    )
)</f>
        <v>150</v>
      </c>
      <c r="N322" s="57">
        <f>IF(
    N277="Common component",
    _xlfn.XLOOKUP(
        N45,
        selection!$C$94:$G$94,
        selection!$C$107:$G$107
    ),
    IF(
        N277="Meiller",
        _xlfn.XLOOKUP(
            N45,
            selection!$K$94:$O$94,
            selection!$K$112:$O$112
        ),
        "Wrong type"
    )
)</f>
        <v>150</v>
      </c>
      <c r="O322" s="57">
        <f>IF(
    O277="Common component",
    _xlfn.XLOOKUP(
        O45,
        selection!$C$94:$G$94,
        selection!$C$107:$G$107
    ),
    IF(
        O277="Meiller",
        _xlfn.XLOOKUP(
            O45,
            selection!$K$94:$O$94,
            selection!$K$112:$O$112
        ),
        "Wrong type"
    )
)</f>
        <v>150</v>
      </c>
      <c r="P322" s="57">
        <f>IF(
    P277="Common component",
    _xlfn.XLOOKUP(
        P45,
        selection!$C$94:$G$94,
        selection!$C$107:$G$107
    ),
    IF(
        P277="Meiller",
        _xlfn.XLOOKUP(
            P45,
            selection!$K$94:$O$94,
            selection!$K$112:$O$112
        ),
        "Wrong type"
    )
)</f>
        <v>120</v>
      </c>
      <c r="Q322" s="57">
        <f>IF(
    Q277="Common component",
    _xlfn.XLOOKUP(
        Q45,
        selection!$C$94:$G$94,
        selection!$C$107:$G$107
    ),
    IF(
        Q277="Meiller",
        _xlfn.XLOOKUP(
            Q45,
            selection!$K$94:$O$94,
            selection!$K$112:$O$112
        ),
        "Wrong type"
    )
)</f>
        <v>120</v>
      </c>
      <c r="R322" s="57">
        <f>IF(
    R277="Common component",
    _xlfn.XLOOKUP(
        R45,
        selection!$C$94:$G$94,
        selection!$C$107:$G$107
    ),
    IF(
        R277="Meiller",
        _xlfn.XLOOKUP(
            R45,
            selection!$K$94:$O$94,
            selection!$K$112:$O$112
        ),
        "Wrong type"
    )
)</f>
        <v>120</v>
      </c>
      <c r="S322" s="57">
        <f>IF(
    S277="Common component",
    _xlfn.XLOOKUP(
        S45,
        selection!$C$94:$G$94,
        selection!$C$107:$G$107
    ),
    IF(
        S277="Meiller",
        _xlfn.XLOOKUP(
            S45,
            selection!$K$94:$O$94,
            selection!$K$112:$O$112
        ),
        "Wrong type"
    )
)</f>
        <v>120</v>
      </c>
      <c r="T322" s="57">
        <f>IF(
    T277="Common component",
    _xlfn.XLOOKUP(
        T45,
        selection!$C$94:$G$94,
        selection!$C$107:$G$107
    ),
    IF(
        T277="Meiller",
        _xlfn.XLOOKUP(
            T45,
            selection!$K$94:$O$94,
            selection!$K$112:$O$112
        ),
        "Wrong type"
    )
)</f>
        <v>120</v>
      </c>
      <c r="U322" s="57">
        <f>IF(
    U277="Common component",
    _xlfn.XLOOKUP(
        U45,
        selection!$C$94:$G$94,
        selection!$C$107:$G$107
    ),
    IF(
        U277="Meiller",
        _xlfn.XLOOKUP(
            U45,
            selection!$K$94:$O$94,
            selection!$K$112:$O$112
        ),
        "Wrong type"
    )
)</f>
        <v>120</v>
      </c>
    </row>
    <row r="323" spans="1:21" x14ac:dyDescent="0.25">
      <c r="A323" s="210" t="s">
        <v>470</v>
      </c>
      <c r="B323" s="210"/>
      <c r="D323" s="15" t="s">
        <v>63</v>
      </c>
      <c r="E323" s="123" t="s">
        <v>8</v>
      </c>
      <c r="F323" s="99" t="s">
        <v>471</v>
      </c>
      <c r="G323" s="154" t="s">
        <v>9</v>
      </c>
      <c r="H323" s="36" t="s">
        <v>9</v>
      </c>
      <c r="K323" s="5" t="s">
        <v>472</v>
      </c>
      <c r="M323" s="57">
        <f>IF(M277="common component",25,IF(M277="Meiller",0,"non std door type"))</f>
        <v>25</v>
      </c>
      <c r="N323" s="57">
        <f t="shared" ref="N323:U323" si="52">IF(N277="common component",25,IF(N277="Meiller",0,"non std door type"))</f>
        <v>25</v>
      </c>
      <c r="O323" s="57">
        <f t="shared" si="52"/>
        <v>25</v>
      </c>
      <c r="P323" s="57">
        <f t="shared" si="52"/>
        <v>0</v>
      </c>
      <c r="Q323" s="57">
        <f t="shared" si="52"/>
        <v>0</v>
      </c>
      <c r="R323" s="57">
        <f t="shared" si="52"/>
        <v>0</v>
      </c>
      <c r="S323" s="57">
        <f t="shared" si="52"/>
        <v>0</v>
      </c>
      <c r="T323" s="57">
        <f t="shared" si="52"/>
        <v>0</v>
      </c>
      <c r="U323" s="57">
        <f t="shared" si="52"/>
        <v>0</v>
      </c>
    </row>
    <row r="324" spans="1:21" x14ac:dyDescent="0.25">
      <c r="A324" s="210" t="s">
        <v>473</v>
      </c>
      <c r="B324" s="210"/>
      <c r="D324" s="15" t="s">
        <v>63</v>
      </c>
      <c r="E324" s="123" t="s">
        <v>8</v>
      </c>
      <c r="F324" s="99" t="s">
        <v>474</v>
      </c>
      <c r="G324" s="154" t="s">
        <v>9</v>
      </c>
      <c r="H324" s="36" t="s">
        <v>9</v>
      </c>
      <c r="K324" s="37" t="s">
        <v>449</v>
      </c>
      <c r="M324" s="37">
        <v>0</v>
      </c>
      <c r="N324" s="37">
        <v>0</v>
      </c>
      <c r="O324" s="5">
        <v>0</v>
      </c>
      <c r="P324" s="5">
        <v>0</v>
      </c>
      <c r="Q324" s="5">
        <v>0</v>
      </c>
      <c r="R324" s="5">
        <v>0</v>
      </c>
      <c r="S324" s="5">
        <v>0</v>
      </c>
      <c r="T324" s="5">
        <v>0</v>
      </c>
      <c r="U324" s="5">
        <v>0</v>
      </c>
    </row>
    <row r="325" spans="1:21" x14ac:dyDescent="0.25">
      <c r="A325" s="41"/>
      <c r="B325" s="41"/>
      <c r="K325" s="67"/>
      <c r="M325" s="67"/>
      <c r="N325" s="67"/>
    </row>
    <row r="326" spans="1:21" x14ac:dyDescent="0.25">
      <c r="A326" s="227" t="s">
        <v>475</v>
      </c>
      <c r="B326" s="227"/>
      <c r="F326" s="2" t="s">
        <v>476</v>
      </c>
      <c r="K326" s="68"/>
      <c r="M326" s="68" t="str">
        <f t="shared" ref="M326:U326" si="53">IF(M29="Front", "325","wrong acces type")</f>
        <v>325</v>
      </c>
      <c r="N326" s="68" t="str">
        <f t="shared" si="53"/>
        <v>325</v>
      </c>
      <c r="O326" s="68" t="str">
        <f t="shared" si="53"/>
        <v>325</v>
      </c>
      <c r="P326" s="68" t="str">
        <f t="shared" si="53"/>
        <v>wrong acces type</v>
      </c>
      <c r="Q326" s="68" t="str">
        <f t="shared" si="53"/>
        <v>325</v>
      </c>
      <c r="R326" s="68" t="str">
        <f t="shared" si="53"/>
        <v>wrong acces type</v>
      </c>
      <c r="S326" s="68" t="str">
        <f t="shared" si="53"/>
        <v>wrong acces type</v>
      </c>
      <c r="T326" s="68" t="str">
        <f t="shared" si="53"/>
        <v>wrong acces type</v>
      </c>
      <c r="U326" s="68" t="str">
        <f t="shared" si="53"/>
        <v>wrong acces type</v>
      </c>
    </row>
    <row r="327" spans="1:21" x14ac:dyDescent="0.25">
      <c r="A327" s="204" t="s">
        <v>447</v>
      </c>
      <c r="B327" s="204"/>
      <c r="D327" s="15" t="s">
        <v>63</v>
      </c>
      <c r="E327" s="123" t="s">
        <v>8</v>
      </c>
      <c r="F327" s="99" t="s">
        <v>448</v>
      </c>
      <c r="G327" s="5" t="s">
        <v>9</v>
      </c>
      <c r="H327" s="56" t="s">
        <v>9</v>
      </c>
      <c r="K327" s="20" t="s">
        <v>477</v>
      </c>
      <c r="M327" s="20">
        <v>0</v>
      </c>
      <c r="N327" s="20">
        <v>0</v>
      </c>
      <c r="O327" s="20">
        <v>0</v>
      </c>
      <c r="P327" s="20">
        <v>0</v>
      </c>
      <c r="Q327" s="20">
        <v>0</v>
      </c>
      <c r="R327" s="20">
        <v>0</v>
      </c>
      <c r="S327" s="20">
        <v>0</v>
      </c>
      <c r="T327" s="20">
        <v>0</v>
      </c>
      <c r="U327" s="20">
        <v>0</v>
      </c>
    </row>
    <row r="328" spans="1:21" x14ac:dyDescent="0.25">
      <c r="A328" s="204" t="s">
        <v>450</v>
      </c>
      <c r="B328" s="204"/>
      <c r="D328" s="15" t="s">
        <v>63</v>
      </c>
      <c r="E328" s="123" t="s">
        <v>8</v>
      </c>
      <c r="F328" s="99" t="s">
        <v>451</v>
      </c>
      <c r="G328" s="5" t="s">
        <v>9</v>
      </c>
      <c r="H328" s="56" t="s">
        <v>9</v>
      </c>
      <c r="K328" s="5" t="s">
        <v>452</v>
      </c>
      <c r="M328" s="57">
        <f>IF(M277="common component",25,IF(M277="Meiller",0,"non std door type"))</f>
        <v>25</v>
      </c>
      <c r="N328" s="57">
        <f t="shared" ref="N328:U328" si="54">IF(N277="common component",25,IF(N277="Meiller",0,"non std door type"))</f>
        <v>25</v>
      </c>
      <c r="O328" s="57">
        <f t="shared" si="54"/>
        <v>25</v>
      </c>
      <c r="P328" s="57">
        <f t="shared" si="54"/>
        <v>0</v>
      </c>
      <c r="Q328" s="57">
        <f t="shared" si="54"/>
        <v>0</v>
      </c>
      <c r="R328" s="57">
        <f t="shared" si="54"/>
        <v>0</v>
      </c>
      <c r="S328" s="57">
        <f t="shared" si="54"/>
        <v>0</v>
      </c>
      <c r="T328" s="57">
        <f t="shared" si="54"/>
        <v>0</v>
      </c>
      <c r="U328" s="57">
        <f t="shared" si="54"/>
        <v>0</v>
      </c>
    </row>
    <row r="329" spans="1:21" x14ac:dyDescent="0.25">
      <c r="A329" s="204" t="s">
        <v>478</v>
      </c>
      <c r="B329" s="204"/>
      <c r="D329" s="15" t="s">
        <v>63</v>
      </c>
      <c r="E329" s="123" t="s">
        <v>8</v>
      </c>
      <c r="F329" s="95" t="s">
        <v>16</v>
      </c>
      <c r="G329" s="5" t="s">
        <v>9</v>
      </c>
      <c r="H329" s="56" t="s">
        <v>9</v>
      </c>
      <c r="K329" s="5" t="s">
        <v>479</v>
      </c>
      <c r="M329" s="57">
        <f>IF(
    M277="Common component",
    _xlfn.XLOOKUP(
        M45,
        selection!$C$94:$G$94,
        selection!$C$107:$G$107
    ),
    IF(
        M277="Meiller",
        _xlfn.XLOOKUP(
            M45,
            selection!$K$94:$O$94,
            selection!$K$112:$O$112
        ),
        "Wrong type"
    )
)</f>
        <v>150</v>
      </c>
      <c r="N329" s="57">
        <f>IF(
    N277="Common component",
    _xlfn.XLOOKUP(
        N45,
        selection!$C$94:$G$94,
        selection!$C$107:$G$107
    ),
    IF(
        N277="Meiller",
        _xlfn.XLOOKUP(
            N45,
            selection!$K$94:$O$94,
            selection!$K$112:$O$112
        ),
        "Wrong type"
    )
)</f>
        <v>150</v>
      </c>
      <c r="O329" s="57">
        <f>IF(
    O277="Common component",
    _xlfn.XLOOKUP(
        O45,
        selection!$C$94:$G$94,
        selection!$C$107:$G$107
    ),
    IF(
        O277="Meiller",
        _xlfn.XLOOKUP(
            O45,
            selection!$K$94:$O$94,
            selection!$K$112:$O$112
        ),
        "Wrong type"
    )
)</f>
        <v>150</v>
      </c>
      <c r="P329" s="57">
        <f>IF(
    P277="Common component",
    _xlfn.XLOOKUP(
        P45,
        selection!$C$94:$G$94,
        selection!$C$107:$G$107
    ),
    IF(
        P277="Meiller",
        _xlfn.XLOOKUP(
            P45,
            selection!$K$94:$O$94,
            selection!$K$112:$O$112
        ),
        "Wrong type"
    )
)</f>
        <v>120</v>
      </c>
      <c r="Q329" s="57">
        <f>IF(
    Q277="Common component",
    _xlfn.XLOOKUP(
        Q45,
        selection!$C$94:$G$94,
        selection!$C$107:$G$107
    ),
    IF(
        Q277="Meiller",
        _xlfn.XLOOKUP(
            Q45,
            selection!$K$94:$O$94,
            selection!$K$112:$O$112
        ),
        "Wrong type"
    )
)</f>
        <v>120</v>
      </c>
      <c r="R329" s="57">
        <f>IF(
    R277="Common component",
    _xlfn.XLOOKUP(
        R45,
        selection!$C$94:$G$94,
        selection!$C$107:$G$107
    ),
    IF(
        R277="Meiller",
        _xlfn.XLOOKUP(
            R45,
            selection!$K$94:$O$94,
            selection!$K$112:$O$112
        ),
        "Wrong type"
    )
)</f>
        <v>120</v>
      </c>
      <c r="S329" s="57">
        <f>IF(
    S277="Common component",
    _xlfn.XLOOKUP(
        S45,
        selection!$C$94:$G$94,
        selection!$C$107:$G$107
    ),
    IF(
        S277="Meiller",
        _xlfn.XLOOKUP(
            S45,
            selection!$K$94:$O$94,
            selection!$K$112:$O$112
        ),
        "Wrong type"
    )
)</f>
        <v>120</v>
      </c>
      <c r="T329" s="57">
        <f>IF(
    T277="Common component",
    _xlfn.XLOOKUP(
        T45,
        selection!$C$94:$G$94,
        selection!$C$107:$G$107
    ),
    IF(
        T277="Meiller",
        _xlfn.XLOOKUP(
            T45,
            selection!$K$94:$O$94,
            selection!$K$112:$O$112
        ),
        "Wrong type"
    )
)</f>
        <v>120</v>
      </c>
      <c r="U329" s="57">
        <f>IF(
    U277="Common component",
    _xlfn.XLOOKUP(
        U45,
        selection!$C$94:$G$94,
        selection!$C$107:$G$107
    ),
    IF(
        U277="Meiller",
        _xlfn.XLOOKUP(
            U45,
            selection!$K$94:$O$94,
            selection!$K$112:$O$112
        ),
        "Wrong type"
    )
)</f>
        <v>120</v>
      </c>
    </row>
    <row r="330" spans="1:21" x14ac:dyDescent="0.25">
      <c r="A330" s="204" t="s">
        <v>455</v>
      </c>
      <c r="B330" s="204"/>
      <c r="D330" s="15" t="s">
        <v>63</v>
      </c>
      <c r="E330" s="123" t="s">
        <v>8</v>
      </c>
      <c r="F330" s="99" t="s">
        <v>456</v>
      </c>
      <c r="G330" s="5" t="s">
        <v>9</v>
      </c>
      <c r="H330" s="56" t="s">
        <v>9</v>
      </c>
      <c r="K330" s="5" t="s">
        <v>457</v>
      </c>
      <c r="M330" s="5">
        <v>30</v>
      </c>
      <c r="N330" s="5">
        <v>30</v>
      </c>
      <c r="O330" s="5">
        <v>30</v>
      </c>
      <c r="P330" s="5">
        <v>30</v>
      </c>
      <c r="Q330" s="5">
        <v>30</v>
      </c>
      <c r="R330" s="5">
        <v>30</v>
      </c>
      <c r="S330" s="5">
        <v>30</v>
      </c>
      <c r="T330" s="5">
        <v>30</v>
      </c>
      <c r="U330" s="5">
        <v>30</v>
      </c>
    </row>
    <row r="331" spans="1:21" x14ac:dyDescent="0.25">
      <c r="A331" s="204" t="s">
        <v>458</v>
      </c>
      <c r="B331" s="204"/>
      <c r="D331" s="15" t="s">
        <v>63</v>
      </c>
      <c r="E331" s="123" t="s">
        <v>8</v>
      </c>
      <c r="F331" s="95" t="s">
        <v>16</v>
      </c>
      <c r="G331" s="5" t="s">
        <v>9</v>
      </c>
      <c r="H331" s="56" t="s">
        <v>9</v>
      </c>
      <c r="K331" s="5" t="s">
        <v>479</v>
      </c>
      <c r="M331" s="57">
        <f>IF(
    M277="Common component",
    _xlfn.XLOOKUP(
        M45,
        selection!$C$109:$G$109,
        selection!$C$121:$G$121
    ),
    IF(
        M277="Meiller",
        _xlfn.XLOOKUP(
            M45,
            selection!$K$115:$O$115,
            selection!$K$134:$O$134
        ),
        "Wrong type"
    )
)</f>
        <v>90</v>
      </c>
      <c r="N331" s="57">
        <f>IF(
    N277="Common component",
    _xlfn.XLOOKUP(
        N45,
        selection!$C$109:$G$109,
        selection!$C$121:$G$121
    ),
    IF(
        N277="Meiller",
        _xlfn.XLOOKUP(
            N45,
            selection!$K$115:$O$115,
            selection!$K$134:$O$134
        ),
        "Wrong type"
    )
)</f>
        <v>90</v>
      </c>
      <c r="O331" s="57">
        <f>IF(
    O277="Common component",
    _xlfn.XLOOKUP(
        O45,
        selection!$C$109:$G$109,
        selection!$C$121:$G$121
    ),
    IF(
        O277="Meiller",
        _xlfn.XLOOKUP(
            O45,
            selection!$K$115:$O$115,
            selection!$K$134:$O$134
        ),
        "Wrong type"
    )
)</f>
        <v>90</v>
      </c>
      <c r="P331" s="57">
        <f>IF(
    P277="Common component",
    _xlfn.XLOOKUP(
        P45,
        selection!$C$109:$G$109,
        selection!$C$121:$G$121
    ),
    IF(
        P277="Meiller",
        _xlfn.XLOOKUP(
            P45,
            selection!$K$115:$O$115,
            selection!$K$134:$O$134
        ),
        "Wrong type"
    )
)</f>
        <v>91</v>
      </c>
      <c r="Q331" s="57">
        <f>IF(
    Q277="Common component",
    _xlfn.XLOOKUP(
        Q45,
        selection!$C$109:$G$109,
        selection!$C$121:$G$121
    ),
    IF(
        Q277="Meiller",
        _xlfn.XLOOKUP(
            Q45,
            selection!$K$115:$O$115,
            selection!$K$134:$O$134
        ),
        "Wrong type"
    )
)</f>
        <v>91</v>
      </c>
      <c r="R331" s="57">
        <f>IF(
    R277="Common component",
    _xlfn.XLOOKUP(
        R45,
        selection!$C$109:$G$109,
        selection!$C$121:$G$121
    ),
    IF(
        R277="Meiller",
        _xlfn.XLOOKUP(
            R45,
            selection!$K$115:$O$115,
            selection!$K$134:$O$134
        ),
        "Wrong type"
    )
)</f>
        <v>91</v>
      </c>
      <c r="S331" s="57">
        <f>IF(
    S277="Common component",
    _xlfn.XLOOKUP(
        S45,
        selection!$C$109:$G$109,
        selection!$C$121:$G$121
    ),
    IF(
        S277="Meiller",
        _xlfn.XLOOKUP(
            S45,
            selection!$K$115:$O$115,
            selection!$K$134:$O$134
        ),
        "Wrong type"
    )
)</f>
        <v>91</v>
      </c>
      <c r="T331" s="57">
        <f>IF(
    T277="Common component",
    _xlfn.XLOOKUP(
        T45,
        selection!$C$109:$G$109,
        selection!$C$121:$G$121
    ),
    IF(
        T277="Meiller",
        _xlfn.XLOOKUP(
            T45,
            selection!$K$115:$O$115,
            selection!$K$134:$O$134
        ),
        "Wrong type"
    )
)</f>
        <v>91</v>
      </c>
      <c r="U331" s="57">
        <f>IF(
    U277="Common component",
    _xlfn.XLOOKUP(
        U45,
        selection!$C$109:$G$109,
        selection!$C$121:$G$121
    ),
    IF(
        U277="Meiller",
        _xlfn.XLOOKUP(
            U45,
            selection!$K$115:$O$115,
            selection!$K$134:$O$134
        ),
        "Wrong type"
    )
)</f>
        <v>91</v>
      </c>
    </row>
    <row r="332" spans="1:21" x14ac:dyDescent="0.25">
      <c r="A332" s="204" t="s">
        <v>459</v>
      </c>
      <c r="B332" s="204"/>
      <c r="D332" s="15" t="s">
        <v>63</v>
      </c>
      <c r="E332" s="123" t="s">
        <v>8</v>
      </c>
      <c r="F332" s="99" t="s">
        <v>460</v>
      </c>
      <c r="G332" s="5" t="s">
        <v>9</v>
      </c>
      <c r="H332" s="56" t="s">
        <v>9</v>
      </c>
      <c r="K332" s="5" t="s">
        <v>461</v>
      </c>
      <c r="M332" s="5">
        <f>M326-SUM(M327:M331)</f>
        <v>30</v>
      </c>
      <c r="N332" s="5">
        <f t="shared" ref="N332:U332" si="55">N326-SUM(N327:N331)</f>
        <v>30</v>
      </c>
      <c r="O332" s="5">
        <f t="shared" si="55"/>
        <v>30</v>
      </c>
      <c r="P332" s="5" t="e">
        <f t="shared" si="55"/>
        <v>#VALUE!</v>
      </c>
      <c r="Q332" s="5">
        <f t="shared" si="55"/>
        <v>84</v>
      </c>
      <c r="R332" s="5" t="e">
        <f t="shared" si="55"/>
        <v>#VALUE!</v>
      </c>
      <c r="S332" s="5" t="e">
        <f t="shared" si="55"/>
        <v>#VALUE!</v>
      </c>
      <c r="T332" s="5" t="e">
        <f t="shared" si="55"/>
        <v>#VALUE!</v>
      </c>
      <c r="U332" s="5" t="e">
        <f t="shared" si="55"/>
        <v>#VALUE!</v>
      </c>
    </row>
    <row r="333" spans="1:21" x14ac:dyDescent="0.25">
      <c r="A333" s="204" t="s">
        <v>462</v>
      </c>
      <c r="B333" s="204"/>
      <c r="D333" s="40" t="s">
        <v>63</v>
      </c>
      <c r="E333" s="123" t="s">
        <v>8</v>
      </c>
      <c r="F333" s="99" t="s">
        <v>68</v>
      </c>
      <c r="G333" s="5" t="s">
        <v>9</v>
      </c>
      <c r="H333" s="56" t="s">
        <v>9</v>
      </c>
      <c r="K333" s="5" t="s">
        <v>480</v>
      </c>
      <c r="M333" s="5">
        <f t="shared" ref="M333:U333" si="56">M35</f>
        <v>1400</v>
      </c>
      <c r="N333" s="5">
        <f t="shared" si="56"/>
        <v>2100</v>
      </c>
      <c r="O333" s="5">
        <f t="shared" si="56"/>
        <v>2300</v>
      </c>
      <c r="P333" s="5">
        <f t="shared" si="56"/>
        <v>1500</v>
      </c>
      <c r="Q333" s="5">
        <f t="shared" si="56"/>
        <v>1600</v>
      </c>
      <c r="R333" s="5" t="str">
        <f t="shared" si="56"/>
        <v>non std. Cabin type</v>
      </c>
      <c r="S333" s="5">
        <f t="shared" si="56"/>
        <v>2700</v>
      </c>
      <c r="T333" s="5">
        <f t="shared" si="56"/>
        <v>2700</v>
      </c>
      <c r="U333" s="5">
        <f t="shared" si="56"/>
        <v>3000</v>
      </c>
    </row>
    <row r="334" spans="1:21" x14ac:dyDescent="0.25">
      <c r="A334" s="204" t="s">
        <v>481</v>
      </c>
      <c r="B334" s="204"/>
      <c r="D334" s="15" t="s">
        <v>63</v>
      </c>
      <c r="E334" s="123" t="s">
        <v>8</v>
      </c>
      <c r="F334" s="99" t="s">
        <v>482</v>
      </c>
      <c r="G334" s="5" t="s">
        <v>9</v>
      </c>
      <c r="H334" s="56" t="s">
        <v>9</v>
      </c>
      <c r="K334" s="5" t="s">
        <v>483</v>
      </c>
      <c r="M334" s="10">
        <f t="shared" ref="M334:U334" si="57">25+M36</f>
        <v>25</v>
      </c>
      <c r="N334" s="10">
        <f t="shared" si="57"/>
        <v>25</v>
      </c>
      <c r="O334" s="10">
        <f t="shared" si="57"/>
        <v>25</v>
      </c>
      <c r="P334" s="10">
        <f t="shared" si="57"/>
        <v>35</v>
      </c>
      <c r="Q334" s="10">
        <f t="shared" si="57"/>
        <v>25</v>
      </c>
      <c r="R334" s="10">
        <f t="shared" si="57"/>
        <v>35</v>
      </c>
      <c r="S334" s="10">
        <f t="shared" si="57"/>
        <v>35</v>
      </c>
      <c r="T334" s="10">
        <f t="shared" si="57"/>
        <v>35</v>
      </c>
      <c r="U334" s="10">
        <f t="shared" si="57"/>
        <v>35</v>
      </c>
    </row>
    <row r="335" spans="1:21" x14ac:dyDescent="0.25">
      <c r="A335" s="204" t="s">
        <v>484</v>
      </c>
      <c r="B335" s="204"/>
      <c r="D335" s="15" t="s">
        <v>63</v>
      </c>
      <c r="E335" s="123" t="s">
        <v>8</v>
      </c>
      <c r="F335" s="99" t="s">
        <v>485</v>
      </c>
      <c r="G335" s="5" t="s">
        <v>9</v>
      </c>
      <c r="H335" s="56" t="s">
        <v>9</v>
      </c>
      <c r="K335" s="5" t="s">
        <v>486</v>
      </c>
      <c r="M335" s="5">
        <f t="shared" ref="M335:U335" si="58">M58-SUM(M327:M334)</f>
        <v>50</v>
      </c>
      <c r="N335" s="5">
        <f t="shared" si="58"/>
        <v>150</v>
      </c>
      <c r="O335" s="5">
        <f t="shared" si="58"/>
        <v>150</v>
      </c>
      <c r="P335" s="5" t="e">
        <f t="shared" si="58"/>
        <v>#VALUE!</v>
      </c>
      <c r="Q335" s="5">
        <f t="shared" si="58"/>
        <v>150</v>
      </c>
      <c r="R335" s="5" t="e">
        <f t="shared" si="58"/>
        <v>#VALUE!</v>
      </c>
      <c r="S335" s="5" t="e">
        <f t="shared" si="58"/>
        <v>#VALUE!</v>
      </c>
      <c r="T335" s="5" t="e">
        <f t="shared" si="58"/>
        <v>#VALUE!</v>
      </c>
      <c r="U335" s="5" t="e">
        <f t="shared" si="58"/>
        <v>#VALUE!</v>
      </c>
    </row>
    <row r="336" spans="1:21" x14ac:dyDescent="0.25">
      <c r="A336" s="202"/>
      <c r="B336" s="202"/>
    </row>
    <row r="337" spans="1:21" x14ac:dyDescent="0.25">
      <c r="A337" s="209" t="s">
        <v>487</v>
      </c>
      <c r="B337" s="209"/>
      <c r="M337" s="2" t="str">
        <f t="shared" ref="M337:U337" si="59">IF(M29="Rear", "325","wrong acces type")</f>
        <v>wrong acces type</v>
      </c>
      <c r="N337" s="2" t="str">
        <f t="shared" si="59"/>
        <v>wrong acces type</v>
      </c>
      <c r="O337" s="2" t="str">
        <f t="shared" si="59"/>
        <v>wrong acces type</v>
      </c>
      <c r="P337" s="2" t="str">
        <f t="shared" si="59"/>
        <v>wrong acces type</v>
      </c>
      <c r="Q337" s="2" t="str">
        <f t="shared" si="59"/>
        <v>wrong acces type</v>
      </c>
      <c r="R337" s="2" t="str">
        <f t="shared" si="59"/>
        <v>wrong acces type</v>
      </c>
      <c r="S337" s="2" t="str">
        <f t="shared" si="59"/>
        <v>wrong acces type</v>
      </c>
      <c r="T337" s="2" t="str">
        <f t="shared" si="59"/>
        <v>wrong acces type</v>
      </c>
      <c r="U337" s="2" t="str">
        <f t="shared" si="59"/>
        <v>wrong acces type</v>
      </c>
    </row>
    <row r="338" spans="1:21" x14ac:dyDescent="0.25">
      <c r="A338" s="204" t="s">
        <v>473</v>
      </c>
      <c r="B338" s="204"/>
      <c r="D338" s="15" t="s">
        <v>63</v>
      </c>
      <c r="E338" s="123" t="s">
        <v>8</v>
      </c>
      <c r="F338" s="99" t="s">
        <v>474</v>
      </c>
      <c r="G338" s="95" t="s">
        <v>9</v>
      </c>
      <c r="H338" s="14" t="s">
        <v>9</v>
      </c>
      <c r="K338" s="5" t="s">
        <v>488</v>
      </c>
      <c r="M338" s="5">
        <v>0</v>
      </c>
      <c r="N338" s="5">
        <v>0</v>
      </c>
      <c r="O338" s="5">
        <v>0</v>
      </c>
      <c r="P338" s="5">
        <v>0</v>
      </c>
      <c r="Q338" s="5">
        <v>0</v>
      </c>
      <c r="R338" s="5">
        <v>0</v>
      </c>
      <c r="S338" s="5">
        <v>0</v>
      </c>
      <c r="T338" s="5">
        <v>0</v>
      </c>
      <c r="U338" s="5">
        <v>0</v>
      </c>
    </row>
    <row r="339" spans="1:21" x14ac:dyDescent="0.25">
      <c r="A339" s="210" t="s">
        <v>470</v>
      </c>
      <c r="B339" s="210"/>
      <c r="D339" s="15" t="s">
        <v>63</v>
      </c>
      <c r="E339" s="123" t="s">
        <v>8</v>
      </c>
      <c r="F339" s="99" t="s">
        <v>471</v>
      </c>
      <c r="G339" s="95" t="s">
        <v>9</v>
      </c>
      <c r="H339" s="14" t="s">
        <v>9</v>
      </c>
      <c r="K339" s="5" t="s">
        <v>452</v>
      </c>
      <c r="M339" s="57">
        <f>IF(M277="common component",25,IF(M277="Meiller",0,"non std door type"))</f>
        <v>25</v>
      </c>
      <c r="N339" s="57">
        <f t="shared" ref="N339:U339" si="60">IF(N277="common component",25,IF(N277="Meiller",0,"non std door type"))</f>
        <v>25</v>
      </c>
      <c r="O339" s="57">
        <f t="shared" si="60"/>
        <v>25</v>
      </c>
      <c r="P339" s="57">
        <f t="shared" si="60"/>
        <v>0</v>
      </c>
      <c r="Q339" s="57">
        <f t="shared" si="60"/>
        <v>0</v>
      </c>
      <c r="R339" s="57">
        <f t="shared" si="60"/>
        <v>0</v>
      </c>
      <c r="S339" s="57">
        <f t="shared" si="60"/>
        <v>0</v>
      </c>
      <c r="T339" s="57">
        <f t="shared" si="60"/>
        <v>0</v>
      </c>
      <c r="U339" s="57">
        <f t="shared" si="60"/>
        <v>0</v>
      </c>
    </row>
    <row r="340" spans="1:21" x14ac:dyDescent="0.25">
      <c r="A340" s="204" t="s">
        <v>469</v>
      </c>
      <c r="B340" s="204"/>
      <c r="D340" s="86" t="s">
        <v>63</v>
      </c>
      <c r="E340" s="123" t="s">
        <v>8</v>
      </c>
      <c r="F340" s="95" t="s">
        <v>16</v>
      </c>
      <c r="G340" s="95" t="s">
        <v>9</v>
      </c>
      <c r="H340" s="14" t="s">
        <v>9</v>
      </c>
      <c r="K340" s="5" t="s">
        <v>489</v>
      </c>
      <c r="M340" s="57">
        <f>IF(
    M277="Common component",
    _xlfn.XLOOKUP(
        M45,
        selection!$C$94:$G$94,
        selection!$C$107:$G$107
    ),
    IF(
        M277="Meiller",
        _xlfn.XLOOKUP(
            M45,
            selection!$K$94:$O$94,
            selection!$K$112:$O$112
        ),
        "Wrong type"
    )
)</f>
        <v>150</v>
      </c>
      <c r="N340" s="57">
        <f>IF(
    N277="Common component",
    _xlfn.XLOOKUP(
        N45,
        selection!$C$94:$G$94,
        selection!$C$107:$G$107
    ),
    IF(
        N277="Meiller",
        _xlfn.XLOOKUP(
            N45,
            selection!$K$94:$O$94,
            selection!$K$112:$O$112
        ),
        "Wrong type"
    )
)</f>
        <v>150</v>
      </c>
      <c r="O340" s="57">
        <f>IF(
    O277="Common component",
    _xlfn.XLOOKUP(
        O45,
        selection!$C$94:$G$94,
        selection!$C$107:$G$107
    ),
    IF(
        O277="Meiller",
        _xlfn.XLOOKUP(
            O45,
            selection!$K$94:$O$94,
            selection!$K$112:$O$112
        ),
        "Wrong type"
    )
)</f>
        <v>150</v>
      </c>
      <c r="P340" s="57">
        <f>IF(
    P277="Common component",
    _xlfn.XLOOKUP(
        P45,
        selection!$C$94:$G$94,
        selection!$C$107:$G$107
    ),
    IF(
        P277="Meiller",
        _xlfn.XLOOKUP(
            P45,
            selection!$K$94:$O$94,
            selection!$K$112:$O$112
        ),
        "Wrong type"
    )
)</f>
        <v>120</v>
      </c>
      <c r="Q340" s="57">
        <f>IF(
    Q277="Common component",
    _xlfn.XLOOKUP(
        Q45,
        selection!$C$94:$G$94,
        selection!$C$107:$G$107
    ),
    IF(
        Q277="Meiller",
        _xlfn.XLOOKUP(
            Q45,
            selection!$K$94:$O$94,
            selection!$K$112:$O$112
        ),
        "Wrong type"
    )
)</f>
        <v>120</v>
      </c>
      <c r="R340" s="57">
        <f>IF(
    R277="Common component",
    _xlfn.XLOOKUP(
        R45,
        selection!$C$94:$G$94,
        selection!$C$107:$G$107
    ),
    IF(
        R277="Meiller",
        _xlfn.XLOOKUP(
            R45,
            selection!$K$94:$O$94,
            selection!$K$112:$O$112
        ),
        "Wrong type"
    )
)</f>
        <v>120</v>
      </c>
      <c r="S340" s="57">
        <f>IF(
    S277="Common component",
    _xlfn.XLOOKUP(
        S45,
        selection!$C$94:$G$94,
        selection!$C$107:$G$107
    ),
    IF(
        S277="Meiller",
        _xlfn.XLOOKUP(
            S45,
            selection!$K$94:$O$94,
            selection!$K$112:$O$112
        ),
        "Wrong type"
    )
)</f>
        <v>120</v>
      </c>
      <c r="T340" s="57">
        <f>IF(
    T277="Common component",
    _xlfn.XLOOKUP(
        T45,
        selection!$C$94:$G$94,
        selection!$C$107:$G$107
    ),
    IF(
        T277="Meiller",
        _xlfn.XLOOKUP(
            T45,
            selection!$K$94:$O$94,
            selection!$K$112:$O$112
        ),
        "Wrong type"
    )
)</f>
        <v>120</v>
      </c>
      <c r="U340" s="57">
        <f>IF(
    U277="Common component",
    _xlfn.XLOOKUP(
        U45,
        selection!$C$94:$G$94,
        selection!$C$107:$G$107
    ),
    IF(
        U277="Meiller",
        _xlfn.XLOOKUP(
            U45,
            selection!$K$94:$O$94,
            selection!$K$112:$O$112
        ),
        "Wrong type"
    )
)</f>
        <v>120</v>
      </c>
    </row>
    <row r="341" spans="1:21" x14ac:dyDescent="0.25">
      <c r="A341" s="204" t="s">
        <v>467</v>
      </c>
      <c r="B341" s="204"/>
      <c r="D341" s="87" t="s">
        <v>63</v>
      </c>
      <c r="E341" s="123" t="s">
        <v>8</v>
      </c>
      <c r="F341" s="99" t="s">
        <v>468</v>
      </c>
      <c r="G341" s="95" t="s">
        <v>9</v>
      </c>
      <c r="H341" s="14" t="s">
        <v>9</v>
      </c>
      <c r="K341" s="5" t="s">
        <v>490</v>
      </c>
      <c r="M341" s="5">
        <v>30</v>
      </c>
      <c r="N341" s="5">
        <v>30</v>
      </c>
      <c r="O341" s="5">
        <v>30</v>
      </c>
      <c r="P341" s="5">
        <v>30</v>
      </c>
      <c r="Q341" s="5">
        <v>30</v>
      </c>
      <c r="R341" s="5">
        <v>30</v>
      </c>
      <c r="S341" s="5">
        <v>30</v>
      </c>
      <c r="T341" s="5">
        <v>30</v>
      </c>
      <c r="U341" s="5">
        <v>30</v>
      </c>
    </row>
    <row r="342" spans="1:21" x14ac:dyDescent="0.25">
      <c r="A342" s="204" t="s">
        <v>491</v>
      </c>
      <c r="B342" s="204"/>
      <c r="D342" s="87" t="s">
        <v>63</v>
      </c>
      <c r="E342" s="123" t="s">
        <v>8</v>
      </c>
      <c r="F342" s="95" t="s">
        <v>16</v>
      </c>
      <c r="G342" s="95" t="s">
        <v>9</v>
      </c>
      <c r="H342" s="14" t="s">
        <v>9</v>
      </c>
      <c r="K342" s="5" t="s">
        <v>489</v>
      </c>
      <c r="M342" s="57">
        <f>IF(
    M277="Common component",
    _xlfn.XLOOKUP(
        M45,
        selection!$C$109:$G$109,
        selection!$C$121:$G$121
    ),
    IF(
        M277="Meiller",
        _xlfn.XLOOKUP(
            M45,
            selection!$K$115:$O$115,
            selection!$K$134:$O$134
        ),
        "Wrong type"
    )
)</f>
        <v>90</v>
      </c>
      <c r="N342" s="57">
        <f>IF(
    N277="Common component",
    _xlfn.XLOOKUP(
        N45,
        selection!$C$109:$G$109,
        selection!$C$121:$G$121
    ),
    IF(
        N277="Meiller",
        _xlfn.XLOOKUP(
            N45,
            selection!$K$115:$O$115,
            selection!$K$134:$O$134
        ),
        "Wrong type"
    )
)</f>
        <v>90</v>
      </c>
      <c r="O342" s="57">
        <f>IF(
    O277="Common component",
    _xlfn.XLOOKUP(
        O45,
        selection!$C$109:$G$109,
        selection!$C$121:$G$121
    ),
    IF(
        O277="Meiller",
        _xlfn.XLOOKUP(
            O45,
            selection!$K$115:$O$115,
            selection!$K$134:$O$134
        ),
        "Wrong type"
    )
)</f>
        <v>90</v>
      </c>
      <c r="P342" s="57">
        <f>IF(
    P277="Common component",
    _xlfn.XLOOKUP(
        P45,
        selection!$C$109:$G$109,
        selection!$C$121:$G$121
    ),
    IF(
        P277="Meiller",
        _xlfn.XLOOKUP(
            P45,
            selection!$K$115:$O$115,
            selection!$K$134:$O$134
        ),
        "Wrong type"
    )
)</f>
        <v>91</v>
      </c>
      <c r="Q342" s="57">
        <f>IF(
    Q277="Common component",
    _xlfn.XLOOKUP(
        Q45,
        selection!$C$109:$G$109,
        selection!$C$121:$G$121
    ),
    IF(
        Q277="Meiller",
        _xlfn.XLOOKUP(
            Q45,
            selection!$K$115:$O$115,
            selection!$K$134:$O$134
        ),
        "Wrong type"
    )
)</f>
        <v>91</v>
      </c>
      <c r="R342" s="57">
        <f>IF(
    R277="Common component",
    _xlfn.XLOOKUP(
        R45,
        selection!$C$109:$G$109,
        selection!$C$121:$G$121
    ),
    IF(
        R277="Meiller",
        _xlfn.XLOOKUP(
            R45,
            selection!$K$115:$O$115,
            selection!$K$134:$O$134
        ),
        "Wrong type"
    )
)</f>
        <v>91</v>
      </c>
      <c r="S342" s="57">
        <f>IF(
    S277="Common component",
    _xlfn.XLOOKUP(
        S45,
        selection!$C$109:$G$109,
        selection!$C$121:$G$121
    ),
    IF(
        S277="Meiller",
        _xlfn.XLOOKUP(
            S45,
            selection!$K$115:$O$115,
            selection!$K$134:$O$134
        ),
        "Wrong type"
    )
)</f>
        <v>91</v>
      </c>
      <c r="T342" s="57">
        <f>IF(
    T277="Common component",
    _xlfn.XLOOKUP(
        T45,
        selection!$C$109:$G$109,
        selection!$C$121:$G$121
    ),
    IF(
        T277="Meiller",
        _xlfn.XLOOKUP(
            T45,
            selection!$K$115:$O$115,
            selection!$K$134:$O$134
        ),
        "Wrong type"
    )
)</f>
        <v>91</v>
      </c>
      <c r="U342" s="57">
        <f>IF(
    U277="Common component",
    _xlfn.XLOOKUP(
        U45,
        selection!$C$109:$G$109,
        selection!$C$121:$G$121
    ),
    IF(
        U277="Meiller",
        _xlfn.XLOOKUP(
            U45,
            selection!$K$115:$O$115,
            selection!$K$134:$O$134
        ),
        "Wrong type"
    )
)</f>
        <v>91</v>
      </c>
    </row>
    <row r="343" spans="1:21" x14ac:dyDescent="0.25">
      <c r="A343" s="204" t="s">
        <v>492</v>
      </c>
      <c r="B343" s="204"/>
      <c r="D343" s="87" t="s">
        <v>63</v>
      </c>
      <c r="E343" s="123" t="s">
        <v>8</v>
      </c>
      <c r="F343" s="99" t="s">
        <v>464</v>
      </c>
      <c r="G343" s="95" t="s">
        <v>9</v>
      </c>
      <c r="H343" s="14" t="s">
        <v>9</v>
      </c>
      <c r="K343" s="5" t="s">
        <v>493</v>
      </c>
      <c r="M343" s="5" t="e">
        <f>M337-SUM(M338:M342)</f>
        <v>#VALUE!</v>
      </c>
      <c r="N343" s="5" t="e">
        <f t="shared" ref="N343:U343" si="61">N337-SUM(N338:N342)</f>
        <v>#VALUE!</v>
      </c>
      <c r="O343" s="5" t="e">
        <f t="shared" si="61"/>
        <v>#VALUE!</v>
      </c>
      <c r="P343" s="5" t="e">
        <f t="shared" si="61"/>
        <v>#VALUE!</v>
      </c>
      <c r="Q343" s="5" t="e">
        <f t="shared" si="61"/>
        <v>#VALUE!</v>
      </c>
      <c r="R343" s="5" t="e">
        <f t="shared" si="61"/>
        <v>#VALUE!</v>
      </c>
      <c r="S343" s="5" t="e">
        <f t="shared" si="61"/>
        <v>#VALUE!</v>
      </c>
      <c r="T343" s="5" t="e">
        <f t="shared" si="61"/>
        <v>#VALUE!</v>
      </c>
      <c r="U343" s="5" t="e">
        <f t="shared" si="61"/>
        <v>#VALUE!</v>
      </c>
    </row>
    <row r="344" spans="1:21" x14ac:dyDescent="0.25">
      <c r="A344" s="204" t="s">
        <v>462</v>
      </c>
      <c r="B344" s="204"/>
      <c r="D344" s="87" t="s">
        <v>63</v>
      </c>
      <c r="E344" s="123" t="s">
        <v>8</v>
      </c>
      <c r="F344" s="99" t="s">
        <v>68</v>
      </c>
      <c r="G344" s="95" t="s">
        <v>9</v>
      </c>
      <c r="H344" s="14" t="s">
        <v>9</v>
      </c>
      <c r="K344" s="5" t="s">
        <v>480</v>
      </c>
      <c r="M344" s="5">
        <f t="shared" ref="M344:U344" si="62">M35</f>
        <v>1400</v>
      </c>
      <c r="N344" s="5">
        <f t="shared" si="62"/>
        <v>2100</v>
      </c>
      <c r="O344" s="5">
        <f t="shared" si="62"/>
        <v>2300</v>
      </c>
      <c r="P344" s="5">
        <f t="shared" si="62"/>
        <v>1500</v>
      </c>
      <c r="Q344" s="5">
        <f t="shared" si="62"/>
        <v>1600</v>
      </c>
      <c r="R344" s="5" t="str">
        <f t="shared" si="62"/>
        <v>non std. Cabin type</v>
      </c>
      <c r="S344" s="5">
        <f t="shared" si="62"/>
        <v>2700</v>
      </c>
      <c r="T344" s="5">
        <f t="shared" si="62"/>
        <v>2700</v>
      </c>
      <c r="U344" s="57">
        <f t="shared" si="62"/>
        <v>3000</v>
      </c>
    </row>
    <row r="345" spans="1:21" x14ac:dyDescent="0.25">
      <c r="A345" s="211" t="s">
        <v>494</v>
      </c>
      <c r="B345" s="211"/>
      <c r="D345" s="88" t="s">
        <v>63</v>
      </c>
      <c r="E345" s="123" t="s">
        <v>8</v>
      </c>
      <c r="F345" s="57" t="s">
        <v>495</v>
      </c>
      <c r="G345" s="95" t="s">
        <v>9</v>
      </c>
      <c r="H345" s="14" t="s">
        <v>9</v>
      </c>
      <c r="K345" s="37" t="s">
        <v>483</v>
      </c>
      <c r="M345" s="168">
        <f t="shared" ref="M345:U345" si="63">25+M36</f>
        <v>25</v>
      </c>
      <c r="N345" s="168">
        <f t="shared" si="63"/>
        <v>25</v>
      </c>
      <c r="O345" s="168">
        <f t="shared" si="63"/>
        <v>25</v>
      </c>
      <c r="P345" s="168">
        <f t="shared" si="63"/>
        <v>35</v>
      </c>
      <c r="Q345" s="168">
        <f t="shared" si="63"/>
        <v>25</v>
      </c>
      <c r="R345" s="168">
        <f t="shared" si="63"/>
        <v>35</v>
      </c>
      <c r="S345" s="168">
        <f t="shared" si="63"/>
        <v>35</v>
      </c>
      <c r="T345" s="168">
        <f t="shared" si="63"/>
        <v>35</v>
      </c>
      <c r="U345" s="168">
        <f t="shared" si="63"/>
        <v>35</v>
      </c>
    </row>
    <row r="346" spans="1:21" x14ac:dyDescent="0.25">
      <c r="A346" s="205" t="s">
        <v>496</v>
      </c>
      <c r="B346" s="205"/>
      <c r="D346" s="15" t="s">
        <v>63</v>
      </c>
      <c r="E346" s="123" t="s">
        <v>8</v>
      </c>
      <c r="F346" s="57" t="s">
        <v>497</v>
      </c>
      <c r="G346" s="95" t="s">
        <v>9</v>
      </c>
      <c r="H346" s="14" t="s">
        <v>9</v>
      </c>
      <c r="K346" s="5" t="s">
        <v>498</v>
      </c>
      <c r="M346" s="5" t="e">
        <f t="shared" ref="M346:U346" si="64">M58-SUM(M338:M345)</f>
        <v>#VALUE!</v>
      </c>
      <c r="N346" s="5" t="e">
        <f t="shared" si="64"/>
        <v>#VALUE!</v>
      </c>
      <c r="O346" s="5" t="e">
        <f t="shared" si="64"/>
        <v>#VALUE!</v>
      </c>
      <c r="P346" s="5" t="e">
        <f t="shared" si="64"/>
        <v>#VALUE!</v>
      </c>
      <c r="Q346" s="5" t="e">
        <f t="shared" si="64"/>
        <v>#VALUE!</v>
      </c>
      <c r="R346" s="5" t="e">
        <f t="shared" si="64"/>
        <v>#VALUE!</v>
      </c>
      <c r="S346" s="5" t="e">
        <f t="shared" si="64"/>
        <v>#VALUE!</v>
      </c>
      <c r="T346" s="5" t="e">
        <f t="shared" si="64"/>
        <v>#VALUE!</v>
      </c>
      <c r="U346" s="5" t="e">
        <f t="shared" si="64"/>
        <v>#VALUE!</v>
      </c>
    </row>
    <row r="347" spans="1:21" x14ac:dyDescent="0.25">
      <c r="A347" s="203"/>
      <c r="B347" s="203"/>
    </row>
    <row r="348" spans="1:21" x14ac:dyDescent="0.25">
      <c r="A348" s="209" t="s">
        <v>499</v>
      </c>
      <c r="B348" s="209"/>
    </row>
    <row r="349" spans="1:21" x14ac:dyDescent="0.25">
      <c r="A349" s="207" t="s">
        <v>500</v>
      </c>
      <c r="B349" s="207"/>
      <c r="D349" s="14" t="s">
        <v>204</v>
      </c>
      <c r="E349" s="123" t="s">
        <v>8</v>
      </c>
      <c r="F349" s="5" t="s">
        <v>210</v>
      </c>
      <c r="G349" s="5" t="s">
        <v>9</v>
      </c>
      <c r="H349" s="64" t="s">
        <v>9</v>
      </c>
      <c r="K349" s="150"/>
      <c r="M349" s="5" t="str">
        <f t="shared" ref="M349:U349" si="65">IF(M20&lt;=1350,"T90(75)",IF(M20&gt;=2500,"T127(89)","T125(82)"))</f>
        <v>T90(75)</v>
      </c>
      <c r="N349" s="5" t="str">
        <f t="shared" si="65"/>
        <v>T90(75)</v>
      </c>
      <c r="O349" s="5" t="str">
        <f t="shared" si="65"/>
        <v>T90(75)</v>
      </c>
      <c r="P349" s="5" t="str">
        <f t="shared" si="65"/>
        <v>T90(75)</v>
      </c>
      <c r="Q349" s="5" t="str">
        <f t="shared" si="65"/>
        <v>T125(82)</v>
      </c>
      <c r="R349" s="5" t="str">
        <f t="shared" si="65"/>
        <v>T125(82)</v>
      </c>
      <c r="S349" s="5" t="str">
        <f t="shared" si="65"/>
        <v>T125(82)</v>
      </c>
      <c r="T349" s="5" t="str">
        <f t="shared" si="65"/>
        <v>T127(89)</v>
      </c>
      <c r="U349" s="5" t="str">
        <f t="shared" si="65"/>
        <v>T127(89)</v>
      </c>
    </row>
    <row r="350" spans="1:21" x14ac:dyDescent="0.25">
      <c r="A350" s="207" t="s">
        <v>501</v>
      </c>
      <c r="B350" s="207"/>
      <c r="C350" s="2" t="s">
        <v>502</v>
      </c>
      <c r="D350" s="14" t="s">
        <v>204</v>
      </c>
      <c r="E350" s="123" t="s">
        <v>8</v>
      </c>
      <c r="F350" s="5" t="s">
        <v>210</v>
      </c>
      <c r="G350" s="5" t="s">
        <v>9</v>
      </c>
      <c r="H350" s="64" t="s">
        <v>9</v>
      </c>
      <c r="K350" s="150"/>
      <c r="L350" s="135" t="s">
        <v>77</v>
      </c>
      <c r="M350" s="5" t="str">
        <f t="shared" ref="M350:U350" si="66">IF(M20&lt;=1000,"T75",IF(M20&gt;=2500,"T125","T90"))</f>
        <v>T75</v>
      </c>
      <c r="N350" s="5" t="str">
        <f t="shared" si="66"/>
        <v>T75</v>
      </c>
      <c r="O350" s="5" t="str">
        <f t="shared" si="66"/>
        <v>T90</v>
      </c>
      <c r="P350" s="5" t="str">
        <f t="shared" si="66"/>
        <v>T90</v>
      </c>
      <c r="Q350" s="5" t="str">
        <f t="shared" si="66"/>
        <v>T90</v>
      </c>
      <c r="R350" s="5" t="str">
        <f t="shared" si="66"/>
        <v>T90</v>
      </c>
      <c r="S350" s="5" t="str">
        <f t="shared" si="66"/>
        <v>T90</v>
      </c>
      <c r="T350" s="5" t="str">
        <f t="shared" si="66"/>
        <v>T125</v>
      </c>
      <c r="U350" s="5" t="str">
        <f t="shared" si="66"/>
        <v>T125</v>
      </c>
    </row>
    <row r="351" spans="1:21" x14ac:dyDescent="0.25">
      <c r="A351" s="207" t="s">
        <v>503</v>
      </c>
      <c r="B351" s="207"/>
      <c r="D351" s="14" t="s">
        <v>404</v>
      </c>
      <c r="E351" s="123" t="s">
        <v>8</v>
      </c>
      <c r="F351" s="99" t="s">
        <v>504</v>
      </c>
      <c r="G351" s="95" t="s">
        <v>9</v>
      </c>
      <c r="H351" s="14" t="s">
        <v>9</v>
      </c>
      <c r="K351" s="150"/>
      <c r="M351" s="5">
        <f>IF(M19="CWT-Left",9,IF(M19="CWT-Right",12,"non std. CTW"))</f>
        <v>9</v>
      </c>
      <c r="N351" s="5">
        <f>IF(N19="CWT-Left",9,IF(N19="CWT-Right",12,"non std. CTW"))</f>
        <v>9</v>
      </c>
      <c r="O351" s="5">
        <f>IF(O19="CWT-Left",12,IF(O19="CWT-Right",12,"non std. CTW"))</f>
        <v>12</v>
      </c>
      <c r="P351" s="5">
        <f>IF(P19="CWT-Left",12,IF(P19="CWT-Right",12,"non std. CTW"))</f>
        <v>12</v>
      </c>
      <c r="Q351" s="5">
        <f>IF(Q19="CWT-Left",12,IF(Q19="CWT-Right",13,"non std. CTW"))</f>
        <v>12</v>
      </c>
      <c r="R351" s="5">
        <f>IF(R19="CWT-Left",12,IF(R19="CWT-Right",13,"non std. CTW"))</f>
        <v>12</v>
      </c>
      <c r="S351" s="5">
        <f>IF(S19="CWT-Left",12,IF(S19="CWT-Right",13,"non std. CTW"))</f>
        <v>12</v>
      </c>
      <c r="T351" s="5">
        <f>IF(T19="CWT-Left",82,IF(T19="CWT-Right",14,"non std. CTW"))</f>
        <v>14</v>
      </c>
      <c r="U351" s="5">
        <f>IF(U19="CWT-Left",82,IF(U19="CWT-Right",14,"non std. CTW"))</f>
        <v>82</v>
      </c>
    </row>
    <row r="352" spans="1:21" x14ac:dyDescent="0.25">
      <c r="A352" s="207" t="s">
        <v>505</v>
      </c>
      <c r="B352" s="207"/>
      <c r="D352" s="14" t="s">
        <v>404</v>
      </c>
      <c r="E352" s="123" t="s">
        <v>8</v>
      </c>
      <c r="F352" s="99" t="s">
        <v>506</v>
      </c>
      <c r="G352" s="95" t="s">
        <v>9</v>
      </c>
      <c r="H352" s="14" t="s">
        <v>9</v>
      </c>
      <c r="K352" s="150"/>
      <c r="M352" s="5">
        <f>IF(M19="CWT-Left",12,IF(M19="CWT-Right",9,"non std. CTW"))</f>
        <v>12</v>
      </c>
      <c r="N352" s="5">
        <f>IF(N19="CWT-Left",12,IF(N19="CWT-Right",9,"non std. CTW"))</f>
        <v>12</v>
      </c>
      <c r="O352" s="5">
        <f>IF(O19="CWT-Left",12,IF(O19="CWT-Right",12,"non std. CTW"))</f>
        <v>12</v>
      </c>
      <c r="P352" s="5">
        <f>IF(P19="CWT-Left",12,IF(P19="CWT-Right",12,"non std. CTW"))</f>
        <v>12</v>
      </c>
      <c r="Q352" s="5">
        <f>IF(Q19="CWT-Left",13,IF(Q19="CWT-Right",12,"non std. CTW"))</f>
        <v>13</v>
      </c>
      <c r="R352" s="5">
        <f>IF(R19="CWT-Left",13,IF(R19="CWT-Right",12,"non std. CTW"))</f>
        <v>13</v>
      </c>
      <c r="S352" s="5">
        <f>IF(S19="CWT-Left",13,IF(S19="CWT-Right",12,"non std. CTW"))</f>
        <v>13</v>
      </c>
      <c r="T352" s="5">
        <f>IF(T19="CWT-Left",14,IF(T19="CWT-Right",82,"non std. CTW"))</f>
        <v>82</v>
      </c>
      <c r="U352" s="5">
        <f>IF(U19="CWT-Left",14,IF(U19="CWT-Right",82,"non std. CTW"))</f>
        <v>14</v>
      </c>
    </row>
    <row r="353" spans="1:21" x14ac:dyDescent="0.25">
      <c r="A353" s="212"/>
      <c r="B353" s="212"/>
      <c r="D353" s="80"/>
      <c r="E353" s="80"/>
      <c r="F353" s="67"/>
      <c r="G353" s="67"/>
      <c r="H353" s="80"/>
      <c r="K353" s="67"/>
      <c r="M353" s="67"/>
      <c r="N353" s="67"/>
    </row>
    <row r="354" spans="1:21" x14ac:dyDescent="0.25">
      <c r="A354" s="203"/>
      <c r="B354" s="203"/>
    </row>
    <row r="355" spans="1:21" x14ac:dyDescent="0.25">
      <c r="A355" s="215" t="s">
        <v>507</v>
      </c>
      <c r="B355" s="215"/>
      <c r="D355" s="81"/>
      <c r="E355" s="81"/>
      <c r="F355" s="68"/>
      <c r="G355" s="68"/>
      <c r="H355" s="81"/>
      <c r="K355" s="184" t="s">
        <v>753</v>
      </c>
      <c r="M355" s="68"/>
      <c r="N355" s="68"/>
    </row>
    <row r="356" spans="1:21" x14ac:dyDescent="0.25">
      <c r="A356" s="214" t="s">
        <v>508</v>
      </c>
      <c r="B356" s="214"/>
      <c r="D356" s="86" t="s">
        <v>234</v>
      </c>
      <c r="E356" s="123" t="s">
        <v>8</v>
      </c>
      <c r="F356" s="57" t="s">
        <v>509</v>
      </c>
      <c r="G356" s="155" t="s">
        <v>9</v>
      </c>
      <c r="H356" s="39" t="s">
        <v>9</v>
      </c>
      <c r="K356" s="185" t="s">
        <v>726</v>
      </c>
      <c r="M356" s="20">
        <v>250</v>
      </c>
      <c r="N356" s="20">
        <v>250</v>
      </c>
      <c r="O356" s="5">
        <v>250</v>
      </c>
      <c r="P356" s="5">
        <v>250</v>
      </c>
      <c r="Q356" s="5">
        <v>250</v>
      </c>
      <c r="R356" s="5">
        <v>250</v>
      </c>
      <c r="S356" s="5">
        <v>250</v>
      </c>
      <c r="T356" s="5">
        <v>250</v>
      </c>
      <c r="U356" s="5">
        <v>250</v>
      </c>
    </row>
    <row r="357" spans="1:21" x14ac:dyDescent="0.25">
      <c r="A357" s="213" t="s">
        <v>510</v>
      </c>
      <c r="B357" s="213"/>
      <c r="D357" s="87" t="s">
        <v>234</v>
      </c>
      <c r="E357" s="123" t="s">
        <v>8</v>
      </c>
      <c r="F357" s="57" t="s">
        <v>511</v>
      </c>
      <c r="G357" s="34" t="s">
        <v>9</v>
      </c>
      <c r="H357" s="36" t="s">
        <v>9</v>
      </c>
      <c r="K357" s="185" t="s">
        <v>726</v>
      </c>
      <c r="M357" s="5">
        <v>250</v>
      </c>
      <c r="N357" s="5">
        <v>250</v>
      </c>
      <c r="O357" s="5">
        <v>250</v>
      </c>
      <c r="P357" s="5">
        <v>250</v>
      </c>
      <c r="Q357" s="5">
        <v>250</v>
      </c>
      <c r="R357" s="5">
        <v>250</v>
      </c>
      <c r="S357" s="5">
        <v>250</v>
      </c>
      <c r="T357" s="5">
        <v>250</v>
      </c>
      <c r="U357" s="5">
        <v>250</v>
      </c>
    </row>
    <row r="358" spans="1:21" x14ac:dyDescent="0.25">
      <c r="A358" s="206" t="s">
        <v>512</v>
      </c>
      <c r="B358" s="206"/>
      <c r="D358" s="88" t="s">
        <v>234</v>
      </c>
      <c r="E358" s="123" t="s">
        <v>8</v>
      </c>
      <c r="F358" s="78" t="s">
        <v>513</v>
      </c>
      <c r="G358" s="156" t="s">
        <v>9</v>
      </c>
      <c r="H358" s="92" t="s">
        <v>9</v>
      </c>
      <c r="K358" s="186" t="s">
        <v>726</v>
      </c>
      <c r="M358" s="37">
        <v>250</v>
      </c>
      <c r="N358" s="37">
        <v>250</v>
      </c>
      <c r="O358" s="37">
        <v>250</v>
      </c>
      <c r="P358" s="37">
        <v>250</v>
      </c>
      <c r="Q358" s="37">
        <v>250</v>
      </c>
      <c r="R358" s="37">
        <v>250</v>
      </c>
      <c r="S358" s="37">
        <v>250</v>
      </c>
      <c r="T358" s="37">
        <v>250</v>
      </c>
      <c r="U358" s="37">
        <v>250</v>
      </c>
    </row>
    <row r="359" spans="1:21" x14ac:dyDescent="0.25">
      <c r="A359" s="207" t="s">
        <v>514</v>
      </c>
      <c r="B359" s="207"/>
      <c r="D359" s="15" t="s">
        <v>234</v>
      </c>
      <c r="E359" s="123" t="s">
        <v>8</v>
      </c>
      <c r="F359" s="57" t="s">
        <v>515</v>
      </c>
      <c r="G359" s="5" t="s">
        <v>9</v>
      </c>
      <c r="H359" s="14" t="s">
        <v>9</v>
      </c>
      <c r="K359" s="150" t="s">
        <v>726</v>
      </c>
      <c r="M359" s="5">
        <v>250</v>
      </c>
      <c r="N359" s="5">
        <v>250</v>
      </c>
      <c r="O359" s="5">
        <v>250</v>
      </c>
      <c r="P359" s="5">
        <v>250</v>
      </c>
      <c r="Q359" s="5">
        <v>250</v>
      </c>
      <c r="R359" s="5">
        <v>250</v>
      </c>
      <c r="S359" s="5">
        <v>250</v>
      </c>
      <c r="T359" s="5">
        <v>250</v>
      </c>
      <c r="U359" s="5">
        <v>250</v>
      </c>
    </row>
    <row r="360" spans="1:21" x14ac:dyDescent="0.25">
      <c r="A360" s="203"/>
      <c r="B360" s="203"/>
    </row>
    <row r="361" spans="1:21" x14ac:dyDescent="0.25">
      <c r="A361" s="54" t="s">
        <v>516</v>
      </c>
    </row>
    <row r="362" spans="1:21" x14ac:dyDescent="0.25">
      <c r="A362" s="207" t="s">
        <v>517</v>
      </c>
      <c r="B362" s="207"/>
      <c r="D362" s="14" t="s">
        <v>234</v>
      </c>
      <c r="E362" s="123" t="s">
        <v>8</v>
      </c>
      <c r="F362" s="57" t="s">
        <v>518</v>
      </c>
      <c r="G362" s="5" t="s">
        <v>9</v>
      </c>
      <c r="H362" s="14" t="s">
        <v>9</v>
      </c>
      <c r="K362" s="5"/>
      <c r="M362" s="5">
        <f t="shared" ref="M362:U362" si="67">M44</f>
        <v>2240</v>
      </c>
      <c r="N362" s="5">
        <f t="shared" si="67"/>
        <v>2240</v>
      </c>
      <c r="O362" s="5">
        <f t="shared" si="67"/>
        <v>2340</v>
      </c>
      <c r="P362" s="5">
        <f t="shared" si="67"/>
        <v>2340</v>
      </c>
      <c r="Q362" s="5">
        <f t="shared" si="67"/>
        <v>2440</v>
      </c>
      <c r="R362" s="5">
        <f t="shared" si="67"/>
        <v>2440</v>
      </c>
      <c r="S362" s="5">
        <f t="shared" si="67"/>
        <v>2340</v>
      </c>
      <c r="T362" s="5">
        <f t="shared" si="67"/>
        <v>2340</v>
      </c>
      <c r="U362" s="5">
        <f t="shared" si="67"/>
        <v>2440</v>
      </c>
    </row>
    <row r="363" spans="1:21" x14ac:dyDescent="0.25">
      <c r="A363" s="207" t="s">
        <v>519</v>
      </c>
      <c r="B363" s="207"/>
      <c r="D363" s="14" t="s">
        <v>234</v>
      </c>
      <c r="E363" s="123" t="s">
        <v>8</v>
      </c>
      <c r="F363" s="57" t="s">
        <v>520</v>
      </c>
      <c r="G363" s="5" t="s">
        <v>9</v>
      </c>
      <c r="H363" s="14" t="s">
        <v>9</v>
      </c>
      <c r="K363" s="5"/>
      <c r="M363" s="5">
        <f t="shared" ref="M363:U363" si="68">M44</f>
        <v>2240</v>
      </c>
      <c r="N363" s="5">
        <f t="shared" si="68"/>
        <v>2240</v>
      </c>
      <c r="O363" s="5">
        <f t="shared" si="68"/>
        <v>2340</v>
      </c>
      <c r="P363" s="5">
        <f t="shared" si="68"/>
        <v>2340</v>
      </c>
      <c r="Q363" s="5">
        <f t="shared" si="68"/>
        <v>2440</v>
      </c>
      <c r="R363" s="5">
        <f t="shared" si="68"/>
        <v>2440</v>
      </c>
      <c r="S363" s="5">
        <f t="shared" si="68"/>
        <v>2340</v>
      </c>
      <c r="T363" s="5">
        <f t="shared" si="68"/>
        <v>2340</v>
      </c>
      <c r="U363" s="5">
        <f t="shared" si="68"/>
        <v>2440</v>
      </c>
    </row>
    <row r="364" spans="1:21" x14ac:dyDescent="0.25">
      <c r="A364" s="203"/>
      <c r="B364" s="203"/>
    </row>
    <row r="365" spans="1:21" x14ac:dyDescent="0.25">
      <c r="A365" s="202"/>
      <c r="B365" s="202"/>
    </row>
    <row r="366" spans="1:21" x14ac:dyDescent="0.25">
      <c r="A366" s="209" t="s">
        <v>521</v>
      </c>
      <c r="B366" s="209"/>
    </row>
    <row r="367" spans="1:21" x14ac:dyDescent="0.25">
      <c r="A367" s="246" t="s">
        <v>522</v>
      </c>
      <c r="B367" s="246"/>
      <c r="F367" s="94"/>
      <c r="G367" s="94"/>
    </row>
    <row r="368" spans="1:21" x14ac:dyDescent="0.25">
      <c r="A368" s="208" t="s">
        <v>523</v>
      </c>
      <c r="B368" s="208"/>
      <c r="D368" s="14" t="s">
        <v>234</v>
      </c>
      <c r="E368" s="123" t="s">
        <v>8</v>
      </c>
      <c r="F368" s="99" t="s">
        <v>524</v>
      </c>
      <c r="G368" s="95" t="s">
        <v>9</v>
      </c>
      <c r="H368" s="14" t="s">
        <v>9</v>
      </c>
      <c r="K368" s="5"/>
      <c r="M368" s="5">
        <f>M54-M369-M370</f>
        <v>410</v>
      </c>
      <c r="N368" s="5">
        <f t="shared" ref="N368:U368" si="69">IF(N19="CWT-Left",SUM(N300,N301,N302,N303,N304/2)-N42/2,IF(N19="CWT-Right",SUM(N300,N301,N306,N305,N304/2)-N42/2,"Non std.CWT"))</f>
        <v>410</v>
      </c>
      <c r="O368" s="5">
        <f t="shared" si="69"/>
        <v>510</v>
      </c>
      <c r="P368" s="5">
        <f t="shared" si="69"/>
        <v>870</v>
      </c>
      <c r="Q368" s="5" t="e">
        <f t="shared" si="69"/>
        <v>#VALUE!</v>
      </c>
      <c r="R368" s="5" t="e">
        <f t="shared" si="69"/>
        <v>#VALUE!</v>
      </c>
      <c r="S368" s="5">
        <f t="shared" si="69"/>
        <v>545</v>
      </c>
      <c r="T368" s="5">
        <f t="shared" si="69"/>
        <v>670</v>
      </c>
      <c r="U368" s="5">
        <f t="shared" si="69"/>
        <v>770</v>
      </c>
    </row>
    <row r="369" spans="1:21" x14ac:dyDescent="0.25">
      <c r="A369" s="208" t="s">
        <v>525</v>
      </c>
      <c r="B369" s="208"/>
      <c r="D369" s="14" t="s">
        <v>9</v>
      </c>
      <c r="E369" s="123" t="s">
        <v>8</v>
      </c>
      <c r="F369" s="5"/>
      <c r="G369" s="5" t="s">
        <v>9</v>
      </c>
      <c r="H369" s="14" t="s">
        <v>9</v>
      </c>
      <c r="K369" s="5" t="s">
        <v>526</v>
      </c>
      <c r="M369" s="5">
        <f t="shared" ref="M369:U369" si="70">M42</f>
        <v>1180</v>
      </c>
      <c r="N369" s="5">
        <f t="shared" si="70"/>
        <v>1180</v>
      </c>
      <c r="O369" s="5">
        <f t="shared" si="70"/>
        <v>1380</v>
      </c>
      <c r="P369" s="5">
        <f t="shared" si="70"/>
        <v>1380</v>
      </c>
      <c r="Q369" s="5">
        <f t="shared" si="70"/>
        <v>1480</v>
      </c>
      <c r="R369" s="5">
        <f t="shared" si="70"/>
        <v>1480</v>
      </c>
      <c r="S369" s="5">
        <f t="shared" si="70"/>
        <v>1580</v>
      </c>
      <c r="T369" s="5">
        <f t="shared" si="70"/>
        <v>1780</v>
      </c>
      <c r="U369" s="5">
        <f t="shared" si="70"/>
        <v>2080</v>
      </c>
    </row>
    <row r="370" spans="1:21" x14ac:dyDescent="0.25">
      <c r="A370" s="208" t="s">
        <v>527</v>
      </c>
      <c r="B370" s="208"/>
      <c r="D370" s="14" t="s">
        <v>234</v>
      </c>
      <c r="E370" s="123" t="s">
        <v>8</v>
      </c>
      <c r="F370" s="57" t="s">
        <v>528</v>
      </c>
      <c r="G370" s="5" t="s">
        <v>9</v>
      </c>
      <c r="H370" s="14" t="s">
        <v>9</v>
      </c>
      <c r="K370" s="5"/>
      <c r="M370" s="5">
        <f>IF(M19="CWT-Left",(M306+M305+M304/2)-M42/2-M294,IF(M19="CWT-Right",(M300+M301+M306+M305+M304/2)-M42/2+M294,"non std. CWT"))</f>
        <v>160</v>
      </c>
      <c r="N370" s="5">
        <f t="shared" ref="N370:U370" si="71">N54-SUM(N368:N369)</f>
        <v>160</v>
      </c>
      <c r="O370" s="5">
        <f t="shared" si="71"/>
        <v>110</v>
      </c>
      <c r="P370" s="5">
        <f t="shared" si="71"/>
        <v>570</v>
      </c>
      <c r="Q370" s="5" t="e">
        <f t="shared" si="71"/>
        <v>#VALUE!</v>
      </c>
      <c r="R370" s="5" t="e">
        <f t="shared" si="71"/>
        <v>#VALUE!</v>
      </c>
      <c r="S370" s="5">
        <f t="shared" si="71"/>
        <v>295</v>
      </c>
      <c r="T370" s="5">
        <f t="shared" si="71"/>
        <v>270</v>
      </c>
      <c r="U370" s="5">
        <f t="shared" si="71"/>
        <v>470</v>
      </c>
    </row>
    <row r="371" spans="1:21" x14ac:dyDescent="0.25">
      <c r="A371" s="203"/>
      <c r="B371" s="203"/>
    </row>
    <row r="372" spans="1:21" x14ac:dyDescent="0.25">
      <c r="A372" s="209" t="s">
        <v>529</v>
      </c>
      <c r="B372" s="209"/>
    </row>
    <row r="373" spans="1:21" x14ac:dyDescent="0.25">
      <c r="A373" s="208" t="s">
        <v>523</v>
      </c>
      <c r="B373" s="208"/>
      <c r="D373" s="14" t="s">
        <v>234</v>
      </c>
      <c r="E373" s="123" t="s">
        <v>8</v>
      </c>
      <c r="F373" s="57" t="s">
        <v>530</v>
      </c>
      <c r="G373" s="5" t="s">
        <v>9</v>
      </c>
      <c r="H373" s="14" t="s">
        <v>9</v>
      </c>
      <c r="K373" s="5"/>
      <c r="M373" s="5">
        <f>M370</f>
        <v>160</v>
      </c>
      <c r="N373" s="5">
        <f t="shared" ref="N373:U373" si="72">N370</f>
        <v>160</v>
      </c>
      <c r="O373" s="5">
        <f t="shared" si="72"/>
        <v>110</v>
      </c>
      <c r="P373" s="5">
        <f t="shared" si="72"/>
        <v>570</v>
      </c>
      <c r="Q373" s="5" t="e">
        <f t="shared" si="72"/>
        <v>#VALUE!</v>
      </c>
      <c r="R373" s="5" t="e">
        <f t="shared" si="72"/>
        <v>#VALUE!</v>
      </c>
      <c r="S373" s="5">
        <f t="shared" si="72"/>
        <v>295</v>
      </c>
      <c r="T373" s="5">
        <f t="shared" si="72"/>
        <v>270</v>
      </c>
      <c r="U373" s="5">
        <f t="shared" si="72"/>
        <v>470</v>
      </c>
    </row>
    <row r="374" spans="1:21" x14ac:dyDescent="0.25">
      <c r="A374" s="208" t="s">
        <v>525</v>
      </c>
      <c r="B374" s="208"/>
      <c r="D374" s="14" t="s">
        <v>9</v>
      </c>
      <c r="E374" s="123" t="s">
        <v>8</v>
      </c>
      <c r="F374" s="57" t="s">
        <v>531</v>
      </c>
      <c r="G374" s="5" t="s">
        <v>9</v>
      </c>
      <c r="H374" s="14" t="s">
        <v>9</v>
      </c>
      <c r="K374" s="5"/>
      <c r="M374" s="5">
        <f>M369</f>
        <v>1180</v>
      </c>
      <c r="N374" s="5">
        <f t="shared" ref="N374:U374" si="73">N369</f>
        <v>1180</v>
      </c>
      <c r="O374" s="5">
        <f t="shared" si="73"/>
        <v>1380</v>
      </c>
      <c r="P374" s="5">
        <f t="shared" si="73"/>
        <v>1380</v>
      </c>
      <c r="Q374" s="5">
        <f t="shared" si="73"/>
        <v>1480</v>
      </c>
      <c r="R374" s="5">
        <f t="shared" si="73"/>
        <v>1480</v>
      </c>
      <c r="S374" s="5">
        <f t="shared" si="73"/>
        <v>1580</v>
      </c>
      <c r="T374" s="5">
        <f t="shared" si="73"/>
        <v>1780</v>
      </c>
      <c r="U374" s="5">
        <f t="shared" si="73"/>
        <v>2080</v>
      </c>
    </row>
    <row r="375" spans="1:21" x14ac:dyDescent="0.25">
      <c r="A375" s="208" t="s">
        <v>527</v>
      </c>
      <c r="B375" s="208"/>
      <c r="D375" s="14" t="s">
        <v>234</v>
      </c>
      <c r="E375" s="123" t="s">
        <v>8</v>
      </c>
      <c r="F375" s="57" t="s">
        <v>532</v>
      </c>
      <c r="G375" s="5" t="s">
        <v>9</v>
      </c>
      <c r="H375" s="14" t="s">
        <v>9</v>
      </c>
      <c r="K375" s="5"/>
      <c r="M375" s="5">
        <f>M368</f>
        <v>410</v>
      </c>
      <c r="N375" s="5">
        <f t="shared" ref="N375:U375" si="74">N368</f>
        <v>410</v>
      </c>
      <c r="O375" s="5">
        <f t="shared" si="74"/>
        <v>510</v>
      </c>
      <c r="P375" s="5">
        <f t="shared" si="74"/>
        <v>870</v>
      </c>
      <c r="Q375" s="5" t="e">
        <f t="shared" si="74"/>
        <v>#VALUE!</v>
      </c>
      <c r="R375" s="5" t="e">
        <f t="shared" si="74"/>
        <v>#VALUE!</v>
      </c>
      <c r="S375" s="5">
        <f t="shared" si="74"/>
        <v>545</v>
      </c>
      <c r="T375" s="5">
        <f t="shared" si="74"/>
        <v>670</v>
      </c>
      <c r="U375" s="5">
        <f t="shared" si="74"/>
        <v>770</v>
      </c>
    </row>
    <row r="376" spans="1:21" x14ac:dyDescent="0.25">
      <c r="A376" s="203"/>
      <c r="B376" s="203"/>
    </row>
    <row r="377" spans="1:21" x14ac:dyDescent="0.25">
      <c r="A377" s="247" t="s">
        <v>533</v>
      </c>
      <c r="B377" s="247"/>
      <c r="D377" s="14" t="s">
        <v>234</v>
      </c>
      <c r="E377" s="123" t="s">
        <v>8</v>
      </c>
      <c r="F377" s="57" t="s">
        <v>534</v>
      </c>
      <c r="G377" s="5" t="s">
        <v>9</v>
      </c>
      <c r="H377" s="14" t="s">
        <v>9</v>
      </c>
      <c r="K377" s="117"/>
      <c r="M377" s="14">
        <f t="shared" ref="M377:U377" si="75">IF(M20&lt;=1000,1000,IF(M20&lt;=2000,1500,IF(M20&lt;=3500,2000,"OUT OF RANGE")))</f>
        <v>1000</v>
      </c>
      <c r="N377" s="14">
        <f t="shared" si="75"/>
        <v>1000</v>
      </c>
      <c r="O377" s="14">
        <f t="shared" si="75"/>
        <v>1500</v>
      </c>
      <c r="P377" s="14">
        <f t="shared" si="75"/>
        <v>1500</v>
      </c>
      <c r="Q377" s="14">
        <f t="shared" si="75"/>
        <v>1500</v>
      </c>
      <c r="R377" s="14">
        <f t="shared" si="75"/>
        <v>1500</v>
      </c>
      <c r="S377" s="14">
        <f t="shared" si="75"/>
        <v>1500</v>
      </c>
      <c r="T377" s="14">
        <f t="shared" si="75"/>
        <v>2000</v>
      </c>
      <c r="U377" s="14">
        <f t="shared" si="75"/>
        <v>2000</v>
      </c>
    </row>
    <row r="378" spans="1:21" x14ac:dyDescent="0.25">
      <c r="A378" s="203"/>
      <c r="B378" s="203"/>
    </row>
    <row r="379" spans="1:21" x14ac:dyDescent="0.25">
      <c r="A379" s="203"/>
      <c r="B379" s="203"/>
    </row>
    <row r="380" spans="1:21" x14ac:dyDescent="0.25">
      <c r="A380" s="209" t="s">
        <v>535</v>
      </c>
      <c r="B380" s="209"/>
      <c r="M380" s="16"/>
    </row>
    <row r="381" spans="1:21" x14ac:dyDescent="0.25">
      <c r="A381" s="207" t="s">
        <v>536</v>
      </c>
      <c r="B381" s="207"/>
      <c r="D381" s="14" t="s">
        <v>204</v>
      </c>
      <c r="E381" s="123" t="s">
        <v>8</v>
      </c>
      <c r="F381" s="62" t="s">
        <v>31</v>
      </c>
      <c r="G381" s="5" t="s">
        <v>9</v>
      </c>
      <c r="H381" s="14" t="s">
        <v>9</v>
      </c>
      <c r="K381" s="150" t="s">
        <v>747</v>
      </c>
      <c r="M381" s="5" t="s">
        <v>537</v>
      </c>
      <c r="N381" s="5" t="s">
        <v>537</v>
      </c>
      <c r="O381" s="5" t="s">
        <v>537</v>
      </c>
      <c r="P381" s="5" t="s">
        <v>537</v>
      </c>
      <c r="Q381" s="5" t="s">
        <v>537</v>
      </c>
      <c r="R381" s="5" t="s">
        <v>537</v>
      </c>
      <c r="S381" s="5" t="s">
        <v>537</v>
      </c>
      <c r="T381" s="5" t="s">
        <v>537</v>
      </c>
      <c r="U381" s="5" t="s">
        <v>537</v>
      </c>
    </row>
    <row r="382" spans="1:21" x14ac:dyDescent="0.25">
      <c r="A382" s="207" t="s">
        <v>538</v>
      </c>
      <c r="B382" s="207"/>
      <c r="D382" s="14" t="s">
        <v>234</v>
      </c>
      <c r="E382" s="123" t="s">
        <v>8</v>
      </c>
      <c r="F382" s="57" t="s">
        <v>539</v>
      </c>
      <c r="G382" s="5" t="s">
        <v>9</v>
      </c>
      <c r="H382" s="14" t="s">
        <v>9</v>
      </c>
      <c r="K382" s="5"/>
      <c r="M382" s="14">
        <v>315</v>
      </c>
      <c r="N382" s="14">
        <v>315</v>
      </c>
      <c r="O382" s="14">
        <v>315</v>
      </c>
      <c r="P382" s="14">
        <v>315</v>
      </c>
      <c r="Q382" s="14">
        <v>315</v>
      </c>
      <c r="R382" s="14">
        <v>315</v>
      </c>
      <c r="S382" s="14">
        <v>315</v>
      </c>
      <c r="T382" s="14">
        <v>315</v>
      </c>
      <c r="U382" s="14">
        <v>315</v>
      </c>
    </row>
    <row r="383" spans="1:21" x14ac:dyDescent="0.25">
      <c r="A383" s="207" t="s">
        <v>540</v>
      </c>
      <c r="B383" s="207"/>
      <c r="D383" s="14" t="s">
        <v>541</v>
      </c>
      <c r="E383" s="123" t="s">
        <v>8</v>
      </c>
      <c r="F383" s="57" t="s">
        <v>542</v>
      </c>
      <c r="G383" s="5" t="s">
        <v>9</v>
      </c>
      <c r="H383" s="14" t="s">
        <v>9</v>
      </c>
      <c r="K383" s="5"/>
      <c r="M383" s="5">
        <f t="shared" ref="M383:U383" si="76">IF(M48="in lift door frame L",138,IF(M48="in lift door frame R",146,IF(OR(M48="flush wall panel L",M48="wall-mounted panel L"),140,IF(OR(M48="flush wall panel R",M48="wall-mounted panel R"),148,"non std. LOP location"))))</f>
        <v>138</v>
      </c>
      <c r="N383" s="5">
        <f t="shared" si="76"/>
        <v>138</v>
      </c>
      <c r="O383" s="5">
        <f t="shared" si="76"/>
        <v>146</v>
      </c>
      <c r="P383" s="5">
        <f t="shared" si="76"/>
        <v>146</v>
      </c>
      <c r="Q383" s="5">
        <f t="shared" si="76"/>
        <v>146</v>
      </c>
      <c r="R383" s="5">
        <f t="shared" si="76"/>
        <v>140</v>
      </c>
      <c r="S383" s="5">
        <f t="shared" si="76"/>
        <v>146</v>
      </c>
      <c r="T383" s="5">
        <f t="shared" si="76"/>
        <v>146</v>
      </c>
      <c r="U383" s="5">
        <f t="shared" si="76"/>
        <v>146</v>
      </c>
    </row>
    <row r="384" spans="1:21" x14ac:dyDescent="0.25">
      <c r="A384" s="207" t="s">
        <v>543</v>
      </c>
      <c r="B384" s="207"/>
      <c r="D384" s="14" t="s">
        <v>544</v>
      </c>
      <c r="E384" s="123" t="s">
        <v>8</v>
      </c>
      <c r="F384" s="57" t="s">
        <v>545</v>
      </c>
      <c r="G384" s="5" t="s">
        <v>9</v>
      </c>
      <c r="H384" s="14" t="s">
        <v>9</v>
      </c>
      <c r="K384" s="5" t="s">
        <v>546</v>
      </c>
      <c r="M384" s="5">
        <f>IF(M381="Stadnard 150x300",13,"non std.")</f>
        <v>13</v>
      </c>
      <c r="N384" s="5">
        <f t="shared" ref="N384:U384" si="77">IF(N381="Stadnard 150x300",13,0)</f>
        <v>13</v>
      </c>
      <c r="O384" s="5">
        <f t="shared" si="77"/>
        <v>13</v>
      </c>
      <c r="P384" s="5">
        <f t="shared" si="77"/>
        <v>13</v>
      </c>
      <c r="Q384" s="5">
        <f t="shared" si="77"/>
        <v>13</v>
      </c>
      <c r="R384" s="5">
        <f t="shared" si="77"/>
        <v>13</v>
      </c>
      <c r="S384" s="5">
        <f t="shared" si="77"/>
        <v>13</v>
      </c>
      <c r="T384" s="5">
        <f t="shared" si="77"/>
        <v>13</v>
      </c>
      <c r="U384" s="5">
        <f t="shared" si="77"/>
        <v>13</v>
      </c>
    </row>
    <row r="385" spans="1:21" x14ac:dyDescent="0.25">
      <c r="A385" s="203"/>
      <c r="B385" s="203"/>
    </row>
    <row r="386" spans="1:21" x14ac:dyDescent="0.25">
      <c r="A386" s="209" t="s">
        <v>547</v>
      </c>
      <c r="B386" s="209"/>
    </row>
    <row r="387" spans="1:21" x14ac:dyDescent="0.25">
      <c r="A387" s="207" t="s">
        <v>538</v>
      </c>
      <c r="B387" s="207"/>
      <c r="D387" s="14" t="s">
        <v>234</v>
      </c>
      <c r="E387" s="123" t="s">
        <v>8</v>
      </c>
      <c r="F387" s="57" t="s">
        <v>548</v>
      </c>
      <c r="G387" s="5" t="s">
        <v>9</v>
      </c>
      <c r="H387" s="14" t="s">
        <v>9</v>
      </c>
      <c r="K387" s="5" t="s">
        <v>549</v>
      </c>
      <c r="M387" s="14">
        <v>315</v>
      </c>
      <c r="N387" s="14">
        <f t="shared" ref="N387:U387" si="78">140+100+75</f>
        <v>315</v>
      </c>
      <c r="O387" s="14">
        <f t="shared" si="78"/>
        <v>315</v>
      </c>
      <c r="P387" s="14">
        <f t="shared" si="78"/>
        <v>315</v>
      </c>
      <c r="Q387" s="14">
        <f t="shared" si="78"/>
        <v>315</v>
      </c>
      <c r="R387" s="14">
        <f t="shared" si="78"/>
        <v>315</v>
      </c>
      <c r="S387" s="14">
        <f t="shared" si="78"/>
        <v>315</v>
      </c>
      <c r="T387" s="14">
        <f t="shared" si="78"/>
        <v>315</v>
      </c>
      <c r="U387" s="14">
        <f t="shared" si="78"/>
        <v>315</v>
      </c>
    </row>
    <row r="388" spans="1:21" x14ac:dyDescent="0.25">
      <c r="A388" s="207" t="s">
        <v>540</v>
      </c>
      <c r="B388" s="207"/>
      <c r="D388" s="14" t="s">
        <v>541</v>
      </c>
      <c r="E388" s="123" t="s">
        <v>8</v>
      </c>
      <c r="F388" s="57" t="s">
        <v>550</v>
      </c>
      <c r="G388" s="5" t="s">
        <v>9</v>
      </c>
      <c r="H388" s="14" t="s">
        <v>9</v>
      </c>
      <c r="K388" s="5"/>
      <c r="M388" s="5">
        <f t="shared" ref="M388:U388" si="79">IF(M48="in lift door frame L",138,IF(M48="in lift door frame R",146,IF(OR(M48="flush wall panel L",M48="wall-mounted panel L"),140,IF(OR(M48="flush wall panel R",M48="wall-mounted panel R"),148,"non std. LOP location"))))</f>
        <v>138</v>
      </c>
      <c r="N388" s="5">
        <f t="shared" si="79"/>
        <v>138</v>
      </c>
      <c r="O388" s="5">
        <f t="shared" si="79"/>
        <v>146</v>
      </c>
      <c r="P388" s="5">
        <f t="shared" si="79"/>
        <v>146</v>
      </c>
      <c r="Q388" s="5">
        <f t="shared" si="79"/>
        <v>146</v>
      </c>
      <c r="R388" s="5">
        <f t="shared" si="79"/>
        <v>140</v>
      </c>
      <c r="S388" s="5">
        <f t="shared" si="79"/>
        <v>146</v>
      </c>
      <c r="T388" s="5">
        <f t="shared" si="79"/>
        <v>146</v>
      </c>
      <c r="U388" s="5">
        <f t="shared" si="79"/>
        <v>146</v>
      </c>
    </row>
    <row r="389" spans="1:21" x14ac:dyDescent="0.25">
      <c r="A389" s="207" t="s">
        <v>551</v>
      </c>
      <c r="B389" s="207"/>
      <c r="D389" s="14" t="s">
        <v>544</v>
      </c>
      <c r="E389" s="123" t="s">
        <v>8</v>
      </c>
      <c r="F389" s="57" t="s">
        <v>552</v>
      </c>
      <c r="G389" s="5" t="s">
        <v>9</v>
      </c>
      <c r="H389" s="14" t="s">
        <v>9</v>
      </c>
      <c r="K389" s="5" t="s">
        <v>553</v>
      </c>
      <c r="M389" s="5">
        <f>IF(M381="Stadnard 150x300",13,"non std.")</f>
        <v>13</v>
      </c>
      <c r="N389" s="5">
        <f t="shared" ref="N389:U389" si="80">IF(N381="Stadnard 150x300",13,"non std.")</f>
        <v>13</v>
      </c>
      <c r="O389" s="5">
        <f t="shared" si="80"/>
        <v>13</v>
      </c>
      <c r="P389" s="5">
        <f t="shared" si="80"/>
        <v>13</v>
      </c>
      <c r="Q389" s="5">
        <f t="shared" si="80"/>
        <v>13</v>
      </c>
      <c r="R389" s="5">
        <f t="shared" si="80"/>
        <v>13</v>
      </c>
      <c r="S389" s="5">
        <f t="shared" si="80"/>
        <v>13</v>
      </c>
      <c r="T389" s="5">
        <f t="shared" si="80"/>
        <v>13</v>
      </c>
      <c r="U389" s="5">
        <f t="shared" si="80"/>
        <v>13</v>
      </c>
    </row>
    <row r="390" spans="1:21" x14ac:dyDescent="0.25">
      <c r="A390" s="203"/>
      <c r="B390" s="203"/>
    </row>
    <row r="391" spans="1:21" x14ac:dyDescent="0.25">
      <c r="A391" s="209" t="s">
        <v>554</v>
      </c>
      <c r="B391" s="209"/>
    </row>
    <row r="392" spans="1:21" x14ac:dyDescent="0.25">
      <c r="A392" s="217" t="s">
        <v>555</v>
      </c>
      <c r="B392" s="217"/>
      <c r="D392" s="14" t="s">
        <v>204</v>
      </c>
      <c r="E392" s="123" t="s">
        <v>8</v>
      </c>
      <c r="F392" s="98" t="s">
        <v>31</v>
      </c>
      <c r="G392" s="5" t="s">
        <v>9</v>
      </c>
      <c r="H392" s="14"/>
      <c r="K392" s="150" t="s">
        <v>748</v>
      </c>
      <c r="M392" s="5" t="s">
        <v>556</v>
      </c>
      <c r="N392" s="5" t="s">
        <v>556</v>
      </c>
      <c r="O392" s="5" t="s">
        <v>556</v>
      </c>
      <c r="P392" s="5" t="s">
        <v>556</v>
      </c>
      <c r="Q392" s="5" t="s">
        <v>556</v>
      </c>
      <c r="R392" s="5" t="s">
        <v>556</v>
      </c>
      <c r="S392" s="5" t="s">
        <v>556</v>
      </c>
      <c r="T392" s="5" t="s">
        <v>556</v>
      </c>
      <c r="U392" s="5" t="s">
        <v>556</v>
      </c>
    </row>
    <row r="393" spans="1:21" x14ac:dyDescent="0.25">
      <c r="A393" s="207" t="s">
        <v>557</v>
      </c>
      <c r="B393" s="207"/>
      <c r="D393" s="14" t="s">
        <v>234</v>
      </c>
      <c r="E393" s="123" t="s">
        <v>8</v>
      </c>
      <c r="F393" s="57" t="s">
        <v>558</v>
      </c>
      <c r="G393" s="20" t="s">
        <v>9</v>
      </c>
      <c r="H393" s="19" t="s">
        <v>9</v>
      </c>
      <c r="K393" s="5" t="s">
        <v>559</v>
      </c>
      <c r="M393" s="5">
        <v>175</v>
      </c>
      <c r="N393" s="5">
        <v>175</v>
      </c>
      <c r="O393" s="5">
        <v>175</v>
      </c>
      <c r="P393" s="5">
        <v>175</v>
      </c>
      <c r="Q393" s="5">
        <v>175</v>
      </c>
      <c r="R393" s="5">
        <v>175</v>
      </c>
      <c r="S393" s="5">
        <v>175</v>
      </c>
      <c r="T393" s="5">
        <v>175</v>
      </c>
      <c r="U393" s="5">
        <v>175</v>
      </c>
    </row>
    <row r="394" spans="1:21" x14ac:dyDescent="0.25">
      <c r="A394" s="207" t="s">
        <v>560</v>
      </c>
      <c r="B394" s="207"/>
      <c r="D394" s="14" t="s">
        <v>541</v>
      </c>
      <c r="E394" s="123" t="s">
        <v>8</v>
      </c>
      <c r="F394" s="57" t="s">
        <v>561</v>
      </c>
      <c r="G394" s="5" t="s">
        <v>9</v>
      </c>
      <c r="H394" s="14" t="s">
        <v>9</v>
      </c>
      <c r="K394" s="5"/>
      <c r="M394" s="5">
        <f t="shared" ref="M394" si="81">IF(M49="door frame side vertical",130,IF(M49="panel above horizontal",132,"non std."))</f>
        <v>130</v>
      </c>
      <c r="N394" s="5">
        <f t="shared" ref="N394:U394" si="82">IF(N49="door frame side vertical",130,IF(N49="panel above horizontal",132,"non std."))</f>
        <v>132</v>
      </c>
      <c r="O394" s="5">
        <f t="shared" si="82"/>
        <v>130</v>
      </c>
      <c r="P394" s="5">
        <f t="shared" si="82"/>
        <v>130</v>
      </c>
      <c r="Q394" s="5">
        <f t="shared" si="82"/>
        <v>130</v>
      </c>
      <c r="R394" s="5">
        <f t="shared" si="82"/>
        <v>130</v>
      </c>
      <c r="S394" s="5">
        <f t="shared" si="82"/>
        <v>130</v>
      </c>
      <c r="T394" s="5">
        <f t="shared" si="82"/>
        <v>130</v>
      </c>
      <c r="U394" s="5">
        <f t="shared" si="82"/>
        <v>130</v>
      </c>
    </row>
    <row r="395" spans="1:21" x14ac:dyDescent="0.25">
      <c r="A395" s="254"/>
      <c r="B395" s="254"/>
    </row>
    <row r="396" spans="1:21" x14ac:dyDescent="0.25">
      <c r="A396" s="207" t="s">
        <v>562</v>
      </c>
      <c r="B396" s="207"/>
      <c r="D396" s="14"/>
      <c r="E396" s="123" t="s">
        <v>8</v>
      </c>
      <c r="F396" s="5"/>
      <c r="G396" s="5" t="s">
        <v>9</v>
      </c>
      <c r="H396" s="14"/>
      <c r="K396" s="5"/>
      <c r="M396" s="82">
        <f t="shared" ref="M396:U396" si="83">IF(OR(M45="2L",M45="2R"),M41+750,
IF(OR(M45="2C",M45="4C",M45="6C"),M41+900,0))</f>
        <v>1650</v>
      </c>
      <c r="N396" s="82">
        <f t="shared" si="83"/>
        <v>1650</v>
      </c>
      <c r="O396" s="82">
        <f t="shared" si="83"/>
        <v>1850</v>
      </c>
      <c r="P396" s="82">
        <f t="shared" si="83"/>
        <v>2000</v>
      </c>
      <c r="Q396" s="82">
        <f t="shared" si="83"/>
        <v>2100</v>
      </c>
      <c r="R396" s="82">
        <f t="shared" si="83"/>
        <v>2100</v>
      </c>
      <c r="S396" s="82">
        <f t="shared" si="83"/>
        <v>2200</v>
      </c>
      <c r="T396" s="82">
        <f t="shared" si="83"/>
        <v>2400</v>
      </c>
      <c r="U396" s="82">
        <f t="shared" si="83"/>
        <v>2700</v>
      </c>
    </row>
    <row r="397" spans="1:21" x14ac:dyDescent="0.25">
      <c r="A397" s="243" t="s">
        <v>563</v>
      </c>
      <c r="B397" s="243"/>
      <c r="D397" s="14"/>
      <c r="E397" s="123" t="s">
        <v>8</v>
      </c>
      <c r="F397" s="5"/>
      <c r="G397" s="5" t="s">
        <v>9</v>
      </c>
      <c r="H397" s="14"/>
      <c r="K397" s="5"/>
      <c r="M397" s="82" cm="1">
        <f t="array" ref="M397">IF(M46="insert rail 40/22",MIN(_xlfn._xlws.FILTER(selection!$B$139:$B$155,selection!$B$139:$B$155&gt;=M396)),IF(M46="insert rail 50/30",MIN(_xlfn._xlws.FILTER(selection!$C$139:$C$155,selection!$C$139:$C$155&gt;=M396)),"no rail"))</f>
        <v>1800</v>
      </c>
      <c r="N397" s="82" cm="1">
        <f t="array" ref="N397">IF(N46="insert rail 40/22",MIN(_xlfn._xlws.FILTER(selection!$B$139:$B$155,selection!$B$139:$B$155&gt;=N396)),IF(N46="insert rail 50/30",MIN(_xlfn._xlws.FILTER(selection!$C$139:$C$155,selection!$C$139:$C$155&gt;=N396)),"no rail"))</f>
        <v>1800</v>
      </c>
      <c r="O397" s="82" cm="1">
        <f t="array" ref="O397">IF(O46="insert rail 40/22",MIN(_xlfn._xlws.FILTER(selection!$B$139:$B$155,selection!$B$139:$B$155&gt;=O396)),IF(O46="insert rail 50/30",MIN(_xlfn._xlws.FILTER(selection!$C$139:$C$155,selection!$C$139:$C$155&gt;=O396)),"no rail"))</f>
        <v>2050</v>
      </c>
      <c r="P397" s="82" cm="1">
        <f t="array" ref="P397">IF(P46="insert rail 40/22",MIN(_xlfn._xlws.FILTER(selection!$B$139:$B$155,selection!$B$139:$B$155&gt;=P396)),IF(P46="insert rail 50/30",MIN(_xlfn._xlws.FILTER(selection!$C$139:$C$155,selection!$C$139:$C$155&gt;=P396)),"no rail"))</f>
        <v>2050</v>
      </c>
      <c r="Q397" s="82" cm="1">
        <f t="array" ref="Q397">IF(Q46="insert rail 40/22",MIN(_xlfn._xlws.FILTER(selection!$B$139:$B$155,selection!$B$139:$B$155&gt;=Q396)),IF(Q46="insert rail 50/30",MIN(_xlfn._xlws.FILTER(selection!$C$139:$C$155,selection!$C$139:$C$155&gt;=Q396)),"no rail"))</f>
        <v>2300</v>
      </c>
      <c r="R397" s="82" cm="1">
        <f t="array" ref="R397">IF(R46="insert rail 40/22",MIN(_xlfn._xlws.FILTER(selection!$B$139:$B$155,selection!$B$139:$B$155&gt;=R396)),IF(R46="insert rail 50/30",MIN(_xlfn._xlws.FILTER(selection!$C$139:$C$155,selection!$C$139:$C$155&gt;=R396)),"no rail"))</f>
        <v>2300</v>
      </c>
      <c r="S397" s="82" cm="1">
        <f t="array" ref="S397">IF(S46="insert rail 40/22",MIN(_xlfn._xlws.FILTER(selection!$B$139:$B$155,selection!$B$139:$B$155&gt;=S396)),IF(S46="insert rail 50/30",MIN(_xlfn._xlws.FILTER(selection!$C$139:$C$155,selection!$C$139:$C$155&gt;=S396)),"no rail"))</f>
        <v>2300</v>
      </c>
      <c r="T397" s="82" cm="1">
        <f t="array" ref="T397">IF(T46="insert rail 40/22",MIN(_xlfn._xlws.FILTER(selection!$B$139:$B$155,selection!$B$139:$B$155&gt;=T396)),IF(T46="insert rail 50/30",MIN(_xlfn._xlws.FILTER(selection!$C$139:$C$155,selection!$C$139:$C$155&gt;=T396)),"no rail"))</f>
        <v>2550</v>
      </c>
      <c r="U397" s="82" cm="1">
        <f t="array" ref="U397">IF(U46="insert rail 40/22",MIN(_xlfn._xlws.FILTER(selection!$B$139:$B$155,selection!$B$139:$B$155&gt;=U396)),IF(U46="insert rail 50/30",MIN(_xlfn._xlws.FILTER(selection!$C$139:$C$155,selection!$C$139:$C$155&gt;=U396)),"no rail"))</f>
        <v>3030</v>
      </c>
    </row>
    <row r="398" spans="1:21" x14ac:dyDescent="0.25">
      <c r="A398" s="253"/>
      <c r="B398" s="253"/>
      <c r="K398" s="2" t="s">
        <v>564</v>
      </c>
      <c r="M398" s="71"/>
    </row>
    <row r="399" spans="1:21" x14ac:dyDescent="0.25">
      <c r="A399" s="209" t="s">
        <v>565</v>
      </c>
      <c r="B399" s="209"/>
      <c r="M399" s="71"/>
    </row>
    <row r="400" spans="1:21" x14ac:dyDescent="0.25">
      <c r="A400" s="215" t="s">
        <v>566</v>
      </c>
      <c r="B400" s="215"/>
    </row>
    <row r="401" spans="1:21" x14ac:dyDescent="0.25">
      <c r="A401" s="251" t="s">
        <v>567</v>
      </c>
      <c r="B401" s="251"/>
      <c r="D401" s="14" t="s">
        <v>541</v>
      </c>
      <c r="E401" s="14" t="s">
        <v>16</v>
      </c>
      <c r="F401" s="150" t="s">
        <v>755</v>
      </c>
      <c r="G401" s="5" t="s">
        <v>9</v>
      </c>
      <c r="H401" s="14" t="s">
        <v>9</v>
      </c>
      <c r="K401" s="5"/>
      <c r="M401" s="150">
        <f>IF(OR(M46="insert rail 40/22",M46="insert rail 50/30"),1400105,1400106)</f>
        <v>1400105</v>
      </c>
      <c r="N401" s="150">
        <f t="shared" ref="N401:U401" si="84">IF(OR(N46="insert rail 40/22",N46="insert rail 50/30"),1400105,1400106)</f>
        <v>1400105</v>
      </c>
      <c r="O401" s="150">
        <f t="shared" si="84"/>
        <v>1400105</v>
      </c>
      <c r="P401" s="150">
        <f t="shared" si="84"/>
        <v>1400105</v>
      </c>
      <c r="Q401" s="150">
        <f t="shared" si="84"/>
        <v>1400105</v>
      </c>
      <c r="R401" s="150">
        <f t="shared" si="84"/>
        <v>1400105</v>
      </c>
      <c r="S401" s="150">
        <f t="shared" si="84"/>
        <v>1400105</v>
      </c>
      <c r="T401" s="150">
        <f t="shared" si="84"/>
        <v>1400105</v>
      </c>
      <c r="U401" s="150">
        <f t="shared" si="84"/>
        <v>1400105</v>
      </c>
    </row>
    <row r="402" spans="1:21" x14ac:dyDescent="0.25">
      <c r="A402" s="207" t="s">
        <v>568</v>
      </c>
      <c r="B402" s="207"/>
      <c r="D402" s="121" t="s">
        <v>544</v>
      </c>
      <c r="E402" s="123" t="s">
        <v>8</v>
      </c>
      <c r="F402" s="57" t="s">
        <v>569</v>
      </c>
      <c r="G402" s="5" t="s">
        <v>9</v>
      </c>
      <c r="H402" s="121" t="s">
        <v>9</v>
      </c>
      <c r="K402" s="5" t="s">
        <v>570</v>
      </c>
      <c r="M402" s="5">
        <f t="shared" ref="M402:U402" si="85">IF(M46="insert rail 40/22",1347,IF(M46="insert rail 50/30",3500003,IF(M46="anchor bolts","anchor bolts code",IF(M46="steel structure","steel structure code","non std. Mounting"))))</f>
        <v>1347</v>
      </c>
      <c r="N402" s="5">
        <f t="shared" si="85"/>
        <v>1347</v>
      </c>
      <c r="O402" s="5">
        <f t="shared" si="85"/>
        <v>1347</v>
      </c>
      <c r="P402" s="5">
        <f t="shared" si="85"/>
        <v>1347</v>
      </c>
      <c r="Q402" s="5">
        <f t="shared" si="85"/>
        <v>1347</v>
      </c>
      <c r="R402" s="5">
        <f t="shared" si="85"/>
        <v>1347</v>
      </c>
      <c r="S402" s="5">
        <f t="shared" si="85"/>
        <v>1347</v>
      </c>
      <c r="T402" s="5">
        <f t="shared" si="85"/>
        <v>1347</v>
      </c>
      <c r="U402" s="5">
        <f t="shared" si="85"/>
        <v>1347</v>
      </c>
    </row>
    <row r="403" spans="1:21" x14ac:dyDescent="0.25">
      <c r="A403" s="207" t="s">
        <v>571</v>
      </c>
      <c r="B403" s="207"/>
      <c r="D403" s="121" t="s">
        <v>234</v>
      </c>
      <c r="E403" s="123" t="s">
        <v>8</v>
      </c>
      <c r="F403" s="57" t="s">
        <v>572</v>
      </c>
      <c r="G403" s="5" t="s">
        <v>9</v>
      </c>
      <c r="H403" s="121" t="s">
        <v>9</v>
      </c>
      <c r="K403" s="5" t="s">
        <v>573</v>
      </c>
      <c r="M403" s="5">
        <f t="shared" ref="M403:U403" si="86">M397</f>
        <v>1800</v>
      </c>
      <c r="N403" s="5">
        <f t="shared" si="86"/>
        <v>1800</v>
      </c>
      <c r="O403" s="5">
        <f t="shared" si="86"/>
        <v>2050</v>
      </c>
      <c r="P403" s="5">
        <f t="shared" si="86"/>
        <v>2050</v>
      </c>
      <c r="Q403" s="5">
        <f t="shared" si="86"/>
        <v>2300</v>
      </c>
      <c r="R403" s="5">
        <f t="shared" si="86"/>
        <v>2300</v>
      </c>
      <c r="S403" s="5">
        <f t="shared" si="86"/>
        <v>2300</v>
      </c>
      <c r="T403" s="5">
        <f t="shared" si="86"/>
        <v>2550</v>
      </c>
      <c r="U403" s="5">
        <f t="shared" si="86"/>
        <v>3030</v>
      </c>
    </row>
    <row r="404" spans="1:21" x14ac:dyDescent="0.25">
      <c r="A404" s="203"/>
      <c r="B404" s="203"/>
    </row>
    <row r="405" spans="1:21" x14ac:dyDescent="0.25">
      <c r="A405" s="209" t="s">
        <v>574</v>
      </c>
      <c r="B405" s="209"/>
    </row>
    <row r="406" spans="1:21" x14ac:dyDescent="0.25">
      <c r="A406" s="207" t="s">
        <v>575</v>
      </c>
      <c r="B406" s="207"/>
      <c r="D406" s="14" t="s">
        <v>541</v>
      </c>
      <c r="E406" s="14" t="s">
        <v>16</v>
      </c>
      <c r="F406" s="150" t="s">
        <v>756</v>
      </c>
      <c r="G406" s="5" t="s">
        <v>9</v>
      </c>
      <c r="H406" s="14" t="s">
        <v>9</v>
      </c>
      <c r="K406" s="5"/>
      <c r="M406" s="150">
        <f>IF(OR(M46="insert rail 40/22",M46="insert rail 50/30"),21,9)</f>
        <v>21</v>
      </c>
      <c r="N406" s="150">
        <f t="shared" ref="N406:U406" si="87">IF(OR(N46="insert rail 40/22",N46="insert rail 50/30"),21,9)</f>
        <v>21</v>
      </c>
      <c r="O406" s="150">
        <f t="shared" si="87"/>
        <v>21</v>
      </c>
      <c r="P406" s="150">
        <f t="shared" si="87"/>
        <v>21</v>
      </c>
      <c r="Q406" s="150">
        <f t="shared" si="87"/>
        <v>21</v>
      </c>
      <c r="R406" s="150">
        <f t="shared" si="87"/>
        <v>21</v>
      </c>
      <c r="S406" s="150">
        <f t="shared" si="87"/>
        <v>21</v>
      </c>
      <c r="T406" s="150">
        <f t="shared" si="87"/>
        <v>21</v>
      </c>
      <c r="U406" s="150">
        <f t="shared" si="87"/>
        <v>21</v>
      </c>
    </row>
    <row r="407" spans="1:21" x14ac:dyDescent="0.25">
      <c r="A407" s="207" t="s">
        <v>576</v>
      </c>
      <c r="B407" s="207"/>
      <c r="D407" s="14" t="s">
        <v>544</v>
      </c>
      <c r="E407" s="123" t="s">
        <v>8</v>
      </c>
      <c r="F407" s="57" t="s">
        <v>577</v>
      </c>
      <c r="G407" s="5" t="s">
        <v>9</v>
      </c>
      <c r="H407" s="14" t="s">
        <v>9</v>
      </c>
      <c r="K407" s="5" t="s">
        <v>570</v>
      </c>
      <c r="M407" s="5">
        <f t="shared" ref="M407:U407" si="88">IF(M46="insert rail 40/22",1347,IF(M46="insert rail 50/30",3500003,IF(M46="anchor bolts","anchor bolts code",IF(M46="steel structure","steel structure code","non std. Mounting"))))</f>
        <v>1347</v>
      </c>
      <c r="N407" s="5">
        <f t="shared" si="88"/>
        <v>1347</v>
      </c>
      <c r="O407" s="5">
        <f t="shared" si="88"/>
        <v>1347</v>
      </c>
      <c r="P407" s="5">
        <f t="shared" si="88"/>
        <v>1347</v>
      </c>
      <c r="Q407" s="5">
        <f t="shared" si="88"/>
        <v>1347</v>
      </c>
      <c r="R407" s="5">
        <f t="shared" si="88"/>
        <v>1347</v>
      </c>
      <c r="S407" s="5">
        <f t="shared" si="88"/>
        <v>1347</v>
      </c>
      <c r="T407" s="5">
        <f t="shared" si="88"/>
        <v>1347</v>
      </c>
      <c r="U407" s="5">
        <f t="shared" si="88"/>
        <v>1347</v>
      </c>
    </row>
    <row r="408" spans="1:21" x14ac:dyDescent="0.25">
      <c r="A408" s="243" t="s">
        <v>578</v>
      </c>
      <c r="B408" s="243"/>
      <c r="D408" s="5" t="s">
        <v>234</v>
      </c>
      <c r="E408" s="123" t="s">
        <v>8</v>
      </c>
      <c r="F408" s="57" t="s">
        <v>579</v>
      </c>
      <c r="G408" s="5" t="s">
        <v>9</v>
      </c>
      <c r="H408" s="5" t="s">
        <v>9</v>
      </c>
      <c r="K408" s="5" t="s">
        <v>573</v>
      </c>
      <c r="M408" s="5">
        <f t="shared" ref="M408:U408" si="89">M397</f>
        <v>1800</v>
      </c>
      <c r="N408" s="5">
        <f t="shared" si="89"/>
        <v>1800</v>
      </c>
      <c r="O408" s="5">
        <f t="shared" si="89"/>
        <v>2050</v>
      </c>
      <c r="P408" s="5">
        <f t="shared" si="89"/>
        <v>2050</v>
      </c>
      <c r="Q408" s="5">
        <f t="shared" si="89"/>
        <v>2300</v>
      </c>
      <c r="R408" s="5">
        <f t="shared" si="89"/>
        <v>2300</v>
      </c>
      <c r="S408" s="5">
        <f t="shared" si="89"/>
        <v>2300</v>
      </c>
      <c r="T408" s="5">
        <f t="shared" si="89"/>
        <v>2550</v>
      </c>
      <c r="U408" s="5">
        <f t="shared" si="89"/>
        <v>3030</v>
      </c>
    </row>
    <row r="409" spans="1:21" x14ac:dyDescent="0.25">
      <c r="A409" s="252"/>
      <c r="B409" s="252"/>
    </row>
    <row r="410" spans="1:21" x14ac:dyDescent="0.25">
      <c r="A410" s="242" t="s">
        <v>580</v>
      </c>
      <c r="B410" s="242"/>
      <c r="M410" s="71"/>
    </row>
    <row r="411" spans="1:21" x14ac:dyDescent="0.25">
      <c r="A411" s="250" t="s">
        <v>581</v>
      </c>
      <c r="B411" s="250"/>
      <c r="D411" s="16" t="s">
        <v>541</v>
      </c>
      <c r="E411" s="16" t="s">
        <v>16</v>
      </c>
      <c r="F411" s="129" t="s">
        <v>758</v>
      </c>
      <c r="G411" s="2" t="s">
        <v>9</v>
      </c>
      <c r="K411" s="5"/>
      <c r="M411" s="195">
        <f>IF(OR(M46="insert rail 40/22",M46="insert rail 50/30"),1400105,1400106)</f>
        <v>1400105</v>
      </c>
      <c r="N411" s="195">
        <f t="shared" ref="N411:U411" si="90">IF(OR(N46="insert rail 40/22",N46="insert rail 50/30"),1400105,1400106)</f>
        <v>1400105</v>
      </c>
      <c r="O411" s="195">
        <f t="shared" si="90"/>
        <v>1400105</v>
      </c>
      <c r="P411" s="195">
        <f t="shared" si="90"/>
        <v>1400105</v>
      </c>
      <c r="Q411" s="195">
        <f t="shared" si="90"/>
        <v>1400105</v>
      </c>
      <c r="R411" s="195">
        <f t="shared" si="90"/>
        <v>1400105</v>
      </c>
      <c r="S411" s="195">
        <f t="shared" si="90"/>
        <v>1400105</v>
      </c>
      <c r="T411" s="195">
        <f t="shared" si="90"/>
        <v>1400105</v>
      </c>
      <c r="U411" s="195">
        <f t="shared" si="90"/>
        <v>1400105</v>
      </c>
    </row>
    <row r="412" spans="1:21" x14ac:dyDescent="0.25">
      <c r="A412" s="207" t="s">
        <v>582</v>
      </c>
      <c r="B412" s="207"/>
      <c r="D412" s="14" t="s">
        <v>544</v>
      </c>
      <c r="E412" s="123" t="s">
        <v>8</v>
      </c>
      <c r="F412" s="57" t="s">
        <v>583</v>
      </c>
      <c r="G412" s="5" t="s">
        <v>9</v>
      </c>
      <c r="H412" s="14" t="s">
        <v>9</v>
      </c>
      <c r="K412" s="5" t="s">
        <v>570</v>
      </c>
      <c r="M412" s="76">
        <f t="shared" ref="M412:U412" si="91">IF(M46="insert rail 40/22",1347,IF(M46="insert rail 50/30",3500003,IF(M46="anchor bolts","anchor bolts code",IF(M46="steel structure","steel structure code","non std. Mounting"))))</f>
        <v>1347</v>
      </c>
      <c r="N412" s="76">
        <f t="shared" si="91"/>
        <v>1347</v>
      </c>
      <c r="O412" s="76">
        <f t="shared" si="91"/>
        <v>1347</v>
      </c>
      <c r="P412" s="76">
        <f t="shared" si="91"/>
        <v>1347</v>
      </c>
      <c r="Q412" s="76">
        <f t="shared" si="91"/>
        <v>1347</v>
      </c>
      <c r="R412" s="76">
        <f t="shared" si="91"/>
        <v>1347</v>
      </c>
      <c r="S412" s="76">
        <f t="shared" si="91"/>
        <v>1347</v>
      </c>
      <c r="T412" s="76">
        <f t="shared" si="91"/>
        <v>1347</v>
      </c>
      <c r="U412" s="5">
        <f t="shared" si="91"/>
        <v>1347</v>
      </c>
    </row>
    <row r="413" spans="1:21" x14ac:dyDescent="0.25">
      <c r="A413" s="207" t="s">
        <v>584</v>
      </c>
      <c r="B413" s="207"/>
      <c r="D413" s="14" t="s">
        <v>234</v>
      </c>
      <c r="E413" s="123" t="s">
        <v>8</v>
      </c>
      <c r="F413" s="57" t="s">
        <v>585</v>
      </c>
      <c r="G413" s="5" t="s">
        <v>9</v>
      </c>
      <c r="H413" s="14" t="s">
        <v>9</v>
      </c>
      <c r="K413" s="5" t="s">
        <v>573</v>
      </c>
      <c r="M413" s="76">
        <f t="shared" ref="M413:U413" si="92">M397</f>
        <v>1800</v>
      </c>
      <c r="N413" s="76">
        <f t="shared" si="92"/>
        <v>1800</v>
      </c>
      <c r="O413" s="76">
        <f t="shared" si="92"/>
        <v>2050</v>
      </c>
      <c r="P413" s="76">
        <f t="shared" si="92"/>
        <v>2050</v>
      </c>
      <c r="Q413" s="76">
        <f t="shared" si="92"/>
        <v>2300</v>
      </c>
      <c r="R413" s="76">
        <f t="shared" si="92"/>
        <v>2300</v>
      </c>
      <c r="S413" s="76">
        <f t="shared" si="92"/>
        <v>2300</v>
      </c>
      <c r="T413" s="76">
        <f t="shared" si="92"/>
        <v>2550</v>
      </c>
      <c r="U413" s="5">
        <f t="shared" si="92"/>
        <v>3030</v>
      </c>
    </row>
    <row r="414" spans="1:21" x14ac:dyDescent="0.25">
      <c r="A414" s="203"/>
      <c r="B414" s="203"/>
    </row>
    <row r="415" spans="1:21" x14ac:dyDescent="0.25">
      <c r="A415" s="209" t="s">
        <v>586</v>
      </c>
      <c r="B415" s="209"/>
    </row>
    <row r="416" spans="1:21" x14ac:dyDescent="0.25">
      <c r="A416" s="217" t="s">
        <v>575</v>
      </c>
      <c r="B416" s="217"/>
      <c r="D416" s="14" t="s">
        <v>541</v>
      </c>
      <c r="E416" s="14" t="s">
        <v>16</v>
      </c>
      <c r="F416" s="150" t="s">
        <v>757</v>
      </c>
      <c r="G416" s="5" t="s">
        <v>9</v>
      </c>
      <c r="H416" s="14" t="s">
        <v>9</v>
      </c>
      <c r="K416" s="5"/>
      <c r="M416" s="150">
        <f>IF(OR(M46="insert rail 40/22",M46="insert rail 50/30"),21,9)</f>
        <v>21</v>
      </c>
      <c r="N416" s="150">
        <f t="shared" ref="N416:U416" si="93">IF(OR(N46="insert rail 40/22",N46="insert rail 50/30"),21,9)</f>
        <v>21</v>
      </c>
      <c r="O416" s="150">
        <f t="shared" si="93"/>
        <v>21</v>
      </c>
      <c r="P416" s="150">
        <f t="shared" si="93"/>
        <v>21</v>
      </c>
      <c r="Q416" s="150">
        <f t="shared" si="93"/>
        <v>21</v>
      </c>
      <c r="R416" s="150">
        <f t="shared" si="93"/>
        <v>21</v>
      </c>
      <c r="S416" s="150">
        <f t="shared" si="93"/>
        <v>21</v>
      </c>
      <c r="T416" s="150">
        <f t="shared" si="93"/>
        <v>21</v>
      </c>
      <c r="U416" s="150">
        <f t="shared" si="93"/>
        <v>21</v>
      </c>
    </row>
    <row r="417" spans="1:21" x14ac:dyDescent="0.25">
      <c r="A417" s="207" t="s">
        <v>587</v>
      </c>
      <c r="B417" s="207"/>
      <c r="D417" s="14" t="s">
        <v>544</v>
      </c>
      <c r="E417" s="123" t="s">
        <v>8</v>
      </c>
      <c r="F417" s="57" t="s">
        <v>588</v>
      </c>
      <c r="G417" s="5" t="s">
        <v>9</v>
      </c>
      <c r="H417" s="14" t="s">
        <v>9</v>
      </c>
      <c r="K417" s="5" t="s">
        <v>570</v>
      </c>
      <c r="M417" s="5">
        <f t="shared" ref="M417:U417" si="94">IF(M46="insert rail 40/22",1347,IF(M46="insert rail 50/30",3500003,IF(M46="anchor bolts","anchor bolts code",IF(M46="steel structure","steel structure code","non std. Mounting"))))</f>
        <v>1347</v>
      </c>
      <c r="N417" s="5">
        <f t="shared" si="94"/>
        <v>1347</v>
      </c>
      <c r="O417" s="5">
        <f t="shared" si="94"/>
        <v>1347</v>
      </c>
      <c r="P417" s="5">
        <f t="shared" si="94"/>
        <v>1347</v>
      </c>
      <c r="Q417" s="5">
        <f t="shared" si="94"/>
        <v>1347</v>
      </c>
      <c r="R417" s="5">
        <f t="shared" si="94"/>
        <v>1347</v>
      </c>
      <c r="S417" s="5">
        <f t="shared" si="94"/>
        <v>1347</v>
      </c>
      <c r="T417" s="5">
        <f t="shared" si="94"/>
        <v>1347</v>
      </c>
      <c r="U417" s="5">
        <f t="shared" si="94"/>
        <v>1347</v>
      </c>
    </row>
    <row r="418" spans="1:21" x14ac:dyDescent="0.25">
      <c r="A418" s="216" t="s">
        <v>584</v>
      </c>
      <c r="B418" s="216"/>
      <c r="D418" s="14" t="s">
        <v>234</v>
      </c>
      <c r="E418" s="123" t="s">
        <v>8</v>
      </c>
      <c r="F418" s="57" t="s">
        <v>589</v>
      </c>
      <c r="G418" s="5" t="s">
        <v>9</v>
      </c>
      <c r="H418" s="14" t="s">
        <v>9</v>
      </c>
      <c r="K418" s="5" t="s">
        <v>573</v>
      </c>
      <c r="M418" s="5">
        <f t="shared" ref="M418:U418" si="95">M397</f>
        <v>1800</v>
      </c>
      <c r="N418" s="5">
        <f t="shared" si="95"/>
        <v>1800</v>
      </c>
      <c r="O418" s="5">
        <f t="shared" si="95"/>
        <v>2050</v>
      </c>
      <c r="P418" s="5">
        <f t="shared" si="95"/>
        <v>2050</v>
      </c>
      <c r="Q418" s="5">
        <f t="shared" si="95"/>
        <v>2300</v>
      </c>
      <c r="R418" s="5">
        <f t="shared" si="95"/>
        <v>2300</v>
      </c>
      <c r="S418" s="5">
        <f t="shared" si="95"/>
        <v>2300</v>
      </c>
      <c r="T418" s="5">
        <f t="shared" si="95"/>
        <v>2550</v>
      </c>
      <c r="U418" s="5">
        <f t="shared" si="95"/>
        <v>3030</v>
      </c>
    </row>
    <row r="419" spans="1:21" x14ac:dyDescent="0.25">
      <c r="A419" s="202"/>
      <c r="B419" s="202"/>
    </row>
    <row r="420" spans="1:21" x14ac:dyDescent="0.25">
      <c r="A420" s="207" t="s">
        <v>590</v>
      </c>
      <c r="B420" s="207"/>
      <c r="D420" s="14" t="s">
        <v>404</v>
      </c>
      <c r="E420" s="14" t="s">
        <v>8</v>
      </c>
      <c r="F420" s="5" t="s">
        <v>591</v>
      </c>
      <c r="G420" s="5" t="s">
        <v>9</v>
      </c>
      <c r="H420" s="14" t="s">
        <v>9</v>
      </c>
      <c r="K420" s="5"/>
      <c r="M420" s="5">
        <f>IF(M53="insert rail 40/22",1,IF(M53="insert rail 50/30",493900023,IF(M53="anchor bolts","anchor bolts code",IF(M53="steel structure","steel structure code","non std. Mounting"))))</f>
        <v>493900023</v>
      </c>
      <c r="N420" s="5" t="str">
        <f t="shared" ref="N420:U420" si="96">IF(N53="insert rail 40/22",1,IF(N53="insert rail 50/30",493900023,IF(N53="anchor bolts","anchor bolts code",IF(N53="steel structure","steel structure code","non std. Mounting"))))</f>
        <v>anchor bolts code</v>
      </c>
      <c r="O420" s="5" t="str">
        <f t="shared" si="96"/>
        <v>anchor bolts code</v>
      </c>
      <c r="P420" s="5" t="str">
        <f t="shared" si="96"/>
        <v>anchor bolts code</v>
      </c>
      <c r="Q420" s="5" t="str">
        <f t="shared" si="96"/>
        <v>anchor bolts code</v>
      </c>
      <c r="R420" s="5" t="str">
        <f t="shared" si="96"/>
        <v>anchor bolts code</v>
      </c>
      <c r="S420" s="5" t="str">
        <f t="shared" si="96"/>
        <v>anchor bolts code</v>
      </c>
      <c r="T420" s="5" t="str">
        <f t="shared" si="96"/>
        <v>anchor bolts code</v>
      </c>
      <c r="U420" s="5" t="str">
        <f t="shared" si="96"/>
        <v>anchor bolts code</v>
      </c>
    </row>
    <row r="421" spans="1:21" x14ac:dyDescent="0.25">
      <c r="A421" s="207" t="s">
        <v>592</v>
      </c>
      <c r="B421" s="207"/>
      <c r="D421" s="14" t="s">
        <v>404</v>
      </c>
      <c r="E421" s="14" t="s">
        <v>8</v>
      </c>
      <c r="F421" s="57" t="s">
        <v>593</v>
      </c>
      <c r="G421" s="5" t="s">
        <v>9</v>
      </c>
      <c r="H421" s="14" t="s">
        <v>9</v>
      </c>
      <c r="K421" s="5"/>
      <c r="M421" s="5">
        <v>550</v>
      </c>
      <c r="N421" s="5">
        <v>550</v>
      </c>
      <c r="O421" s="5">
        <v>550</v>
      </c>
      <c r="P421" s="5">
        <v>550</v>
      </c>
      <c r="Q421" s="5">
        <v>550</v>
      </c>
      <c r="R421" s="5">
        <v>550</v>
      </c>
      <c r="S421" s="5">
        <v>550</v>
      </c>
      <c r="T421" s="5">
        <v>550</v>
      </c>
      <c r="U421" s="5">
        <v>550</v>
      </c>
    </row>
    <row r="422" spans="1:21" x14ac:dyDescent="0.25">
      <c r="A422" s="203"/>
      <c r="B422" s="203"/>
      <c r="G422" s="2" t="s">
        <v>9</v>
      </c>
    </row>
    <row r="423" spans="1:21" x14ac:dyDescent="0.25">
      <c r="A423" s="207" t="s">
        <v>594</v>
      </c>
      <c r="B423" s="207"/>
      <c r="D423" s="14" t="s">
        <v>404</v>
      </c>
      <c r="E423" s="14" t="s">
        <v>8</v>
      </c>
      <c r="F423" s="5" t="s">
        <v>595</v>
      </c>
      <c r="G423" s="5" t="s">
        <v>9</v>
      </c>
      <c r="H423" s="14" t="s">
        <v>9</v>
      </c>
      <c r="K423" s="5"/>
      <c r="M423" s="5">
        <f>IF(M53="insert rail 40/22",1,IF(M53="insert rail 50/30",493900023,IF(M53="anchor bolts","anchor bolts code",IF(M53="steel structure","steel structure code","non std. Mounting"))))</f>
        <v>493900023</v>
      </c>
      <c r="N423" s="5" t="str">
        <f t="shared" ref="N423:U423" si="97">IF(N53="insert rail 40/22",1,IF(N53="insert rail 50/30",493900023,IF(N53="anchor bolts","anchor bolts code",IF(N53="steel structure","steel structure code","non std. Mounting"))))</f>
        <v>anchor bolts code</v>
      </c>
      <c r="O423" s="5" t="str">
        <f t="shared" si="97"/>
        <v>anchor bolts code</v>
      </c>
      <c r="P423" s="5" t="str">
        <f t="shared" si="97"/>
        <v>anchor bolts code</v>
      </c>
      <c r="Q423" s="5" t="str">
        <f t="shared" si="97"/>
        <v>anchor bolts code</v>
      </c>
      <c r="R423" s="5" t="str">
        <f t="shared" si="97"/>
        <v>anchor bolts code</v>
      </c>
      <c r="S423" s="5" t="str">
        <f t="shared" si="97"/>
        <v>anchor bolts code</v>
      </c>
      <c r="T423" s="5" t="str">
        <f t="shared" si="97"/>
        <v>anchor bolts code</v>
      </c>
      <c r="U423" s="5" t="str">
        <f t="shared" si="97"/>
        <v>anchor bolts code</v>
      </c>
    </row>
    <row r="424" spans="1:21" x14ac:dyDescent="0.25">
      <c r="A424" s="207" t="s">
        <v>596</v>
      </c>
      <c r="B424" s="207"/>
      <c r="D424" s="14" t="s">
        <v>404</v>
      </c>
      <c r="E424" s="14" t="s">
        <v>8</v>
      </c>
      <c r="F424" s="5" t="s">
        <v>597</v>
      </c>
      <c r="G424" s="5" t="s">
        <v>9</v>
      </c>
      <c r="H424" s="14" t="s">
        <v>9</v>
      </c>
      <c r="K424" s="5"/>
      <c r="M424" s="150">
        <f t="shared" ref="M424:U424" si="98">M377+500</f>
        <v>1500</v>
      </c>
      <c r="N424" s="150">
        <f t="shared" si="98"/>
        <v>1500</v>
      </c>
      <c r="O424" s="150">
        <f t="shared" si="98"/>
        <v>2000</v>
      </c>
      <c r="P424" s="150">
        <f t="shared" si="98"/>
        <v>2000</v>
      </c>
      <c r="Q424" s="150">
        <f t="shared" si="98"/>
        <v>2000</v>
      </c>
      <c r="R424" s="150">
        <f t="shared" si="98"/>
        <v>2000</v>
      </c>
      <c r="S424" s="150">
        <f t="shared" si="98"/>
        <v>2000</v>
      </c>
      <c r="T424" s="150">
        <f t="shared" si="98"/>
        <v>2500</v>
      </c>
      <c r="U424" s="150">
        <f t="shared" si="98"/>
        <v>2500</v>
      </c>
    </row>
    <row r="425" spans="1:21" x14ac:dyDescent="0.25">
      <c r="A425" s="203"/>
      <c r="B425" s="203"/>
    </row>
    <row r="426" spans="1:21" x14ac:dyDescent="0.25">
      <c r="A426" s="203"/>
      <c r="B426" s="203"/>
    </row>
    <row r="427" spans="1:21" x14ac:dyDescent="0.25">
      <c r="A427" s="202"/>
      <c r="B427" s="202"/>
    </row>
    <row r="428" spans="1:21" x14ac:dyDescent="0.25">
      <c r="A428" s="203"/>
      <c r="B428" s="203"/>
      <c r="F428" s="9"/>
      <c r="G428" s="129"/>
      <c r="M428"/>
    </row>
    <row r="429" spans="1:21" x14ac:dyDescent="0.25">
      <c r="A429" s="203"/>
      <c r="B429" s="203"/>
    </row>
    <row r="430" spans="1:21" x14ac:dyDescent="0.25">
      <c r="A430" s="203"/>
      <c r="B430" s="203"/>
    </row>
    <row r="431" spans="1:21" x14ac:dyDescent="0.25">
      <c r="A431" s="203"/>
      <c r="B431" s="203"/>
    </row>
    <row r="432" spans="1:21" x14ac:dyDescent="0.25">
      <c r="A432" s="203"/>
      <c r="B432" s="203"/>
    </row>
    <row r="433" spans="1:21" x14ac:dyDescent="0.25">
      <c r="A433" s="203"/>
      <c r="B433" s="203"/>
    </row>
    <row r="435" spans="1:21" ht="27" customHeight="1" x14ac:dyDescent="0.25">
      <c r="M435" s="71"/>
    </row>
    <row r="436" spans="1:21" ht="49.5" customHeight="1" x14ac:dyDescent="0.25">
      <c r="M436" s="71"/>
    </row>
    <row r="437" spans="1:21" x14ac:dyDescent="0.25">
      <c r="A437" s="148" t="s">
        <v>598</v>
      </c>
    </row>
    <row r="442" spans="1:21" x14ac:dyDescent="0.25">
      <c r="M442" s="5"/>
      <c r="N442" s="5"/>
      <c r="O442" s="5"/>
      <c r="P442" s="5"/>
      <c r="Q442" s="5"/>
      <c r="R442" s="5"/>
      <c r="S442" s="5"/>
      <c r="T442" s="5"/>
      <c r="U442" s="5"/>
    </row>
    <row r="443" spans="1:21" x14ac:dyDescent="0.25">
      <c r="N443" s="9"/>
      <c r="O443" s="180"/>
      <c r="P443" s="180"/>
      <c r="Q443" s="129"/>
      <c r="R443" s="129"/>
      <c r="S443" s="129"/>
      <c r="T443" s="129"/>
      <c r="U443" s="129"/>
    </row>
  </sheetData>
  <mergeCells count="394">
    <mergeCell ref="A119:B119"/>
    <mergeCell ref="A411:B411"/>
    <mergeCell ref="A406:B406"/>
    <mergeCell ref="A401:B401"/>
    <mergeCell ref="A408:B408"/>
    <mergeCell ref="A409:B409"/>
    <mergeCell ref="A404:B404"/>
    <mergeCell ref="A389:B389"/>
    <mergeCell ref="A384:B384"/>
    <mergeCell ref="A396:B396"/>
    <mergeCell ref="A399:B399"/>
    <mergeCell ref="A402:B402"/>
    <mergeCell ref="A407:B407"/>
    <mergeCell ref="A400:B400"/>
    <mergeCell ref="A403:B403"/>
    <mergeCell ref="A405:B405"/>
    <mergeCell ref="A391:B391"/>
    <mergeCell ref="A393:B393"/>
    <mergeCell ref="A394:B394"/>
    <mergeCell ref="A398:B398"/>
    <mergeCell ref="A397:B397"/>
    <mergeCell ref="A395:B395"/>
    <mergeCell ref="A410:B410"/>
    <mergeCell ref="A335:B335"/>
    <mergeCell ref="A330:B330"/>
    <mergeCell ref="A331:B331"/>
    <mergeCell ref="A392:B392"/>
    <mergeCell ref="A381:B381"/>
    <mergeCell ref="A366:B366"/>
    <mergeCell ref="A367:B367"/>
    <mergeCell ref="A368:B368"/>
    <mergeCell ref="A369:B369"/>
    <mergeCell ref="A370:B370"/>
    <mergeCell ref="A371:B371"/>
    <mergeCell ref="A372:B372"/>
    <mergeCell ref="A387:B387"/>
    <mergeCell ref="A388:B388"/>
    <mergeCell ref="A390:B390"/>
    <mergeCell ref="A377:B377"/>
    <mergeCell ref="A378:B378"/>
    <mergeCell ref="A386:B386"/>
    <mergeCell ref="A380:B380"/>
    <mergeCell ref="A382:B382"/>
    <mergeCell ref="A383:B383"/>
    <mergeCell ref="A385:B385"/>
    <mergeCell ref="A379:B379"/>
    <mergeCell ref="A373:B373"/>
    <mergeCell ref="A343:B343"/>
    <mergeCell ref="A276:B276"/>
    <mergeCell ref="A278:B278"/>
    <mergeCell ref="A280:B280"/>
    <mergeCell ref="A299:B299"/>
    <mergeCell ref="A279:B279"/>
    <mergeCell ref="A281:B281"/>
    <mergeCell ref="A292:B292"/>
    <mergeCell ref="A293:B293"/>
    <mergeCell ref="A294:B294"/>
    <mergeCell ref="A295:B295"/>
    <mergeCell ref="A284:B284"/>
    <mergeCell ref="A286:B286"/>
    <mergeCell ref="A287:B287"/>
    <mergeCell ref="A288:B288"/>
    <mergeCell ref="A289:B289"/>
    <mergeCell ref="A277:B277"/>
    <mergeCell ref="A298:B298"/>
    <mergeCell ref="A290:B290"/>
    <mergeCell ref="A296:B296"/>
    <mergeCell ref="A297:B297"/>
    <mergeCell ref="A1:M1"/>
    <mergeCell ref="A151:B151"/>
    <mergeCell ref="A152:B152"/>
    <mergeCell ref="A155:B155"/>
    <mergeCell ref="A157:B157"/>
    <mergeCell ref="A158:B158"/>
    <mergeCell ref="A162:B162"/>
    <mergeCell ref="A159:B159"/>
    <mergeCell ref="A161:B161"/>
    <mergeCell ref="A160:B160"/>
    <mergeCell ref="A51:B51"/>
    <mergeCell ref="A122:B122"/>
    <mergeCell ref="A123:B123"/>
    <mergeCell ref="A124:B124"/>
    <mergeCell ref="A126:B126"/>
    <mergeCell ref="A127:B127"/>
    <mergeCell ref="A125:B125"/>
    <mergeCell ref="A91:B91"/>
    <mergeCell ref="A132:B132"/>
    <mergeCell ref="A146:B146"/>
    <mergeCell ref="A114:B114"/>
    <mergeCell ref="A117:B117"/>
    <mergeCell ref="A121:B121"/>
    <mergeCell ref="A128:B128"/>
    <mergeCell ref="A250:B250"/>
    <mergeCell ref="A252:B252"/>
    <mergeCell ref="A221:B221"/>
    <mergeCell ref="A222:B222"/>
    <mergeCell ref="A223:B223"/>
    <mergeCell ref="A224:B224"/>
    <mergeCell ref="A225:B225"/>
    <mergeCell ref="A226:B226"/>
    <mergeCell ref="A227:B227"/>
    <mergeCell ref="A228:B228"/>
    <mergeCell ref="A231:B231"/>
    <mergeCell ref="A232:B232"/>
    <mergeCell ref="A233:B233"/>
    <mergeCell ref="A234:B234"/>
    <mergeCell ref="A229:B229"/>
    <mergeCell ref="A230:B230"/>
    <mergeCell ref="A245:B245"/>
    <mergeCell ref="A246:B246"/>
    <mergeCell ref="A248:B248"/>
    <mergeCell ref="A249:B249"/>
    <mergeCell ref="A236:B236"/>
    <mergeCell ref="A237:B237"/>
    <mergeCell ref="A238:B238"/>
    <mergeCell ref="A242:B242"/>
    <mergeCell ref="A220:B220"/>
    <mergeCell ref="A206:B206"/>
    <mergeCell ref="A207:B207"/>
    <mergeCell ref="A208:B208"/>
    <mergeCell ref="A210:B210"/>
    <mergeCell ref="A212:B212"/>
    <mergeCell ref="A213:B213"/>
    <mergeCell ref="A139:B139"/>
    <mergeCell ref="A173:B173"/>
    <mergeCell ref="A174:B174"/>
    <mergeCell ref="A149:B149"/>
    <mergeCell ref="A153:B153"/>
    <mergeCell ref="A205:B205"/>
    <mergeCell ref="A198:B198"/>
    <mergeCell ref="A203:B203"/>
    <mergeCell ref="A200:B200"/>
    <mergeCell ref="A196:B196"/>
    <mergeCell ref="A193:B193"/>
    <mergeCell ref="A143:B143"/>
    <mergeCell ref="A201:B201"/>
    <mergeCell ref="A202:B202"/>
    <mergeCell ref="A199:B199"/>
    <mergeCell ref="A197:B197"/>
    <mergeCell ref="A185:B185"/>
    <mergeCell ref="A131:B131"/>
    <mergeCell ref="A168:B168"/>
    <mergeCell ref="A180:B180"/>
    <mergeCell ref="A175:B175"/>
    <mergeCell ref="A176:B176"/>
    <mergeCell ref="A165:B165"/>
    <mergeCell ref="A166:B166"/>
    <mergeCell ref="A167:B167"/>
    <mergeCell ref="A150:B150"/>
    <mergeCell ref="A170:B170"/>
    <mergeCell ref="A171:B171"/>
    <mergeCell ref="A172:B172"/>
    <mergeCell ref="A169:B169"/>
    <mergeCell ref="A156:B156"/>
    <mergeCell ref="A142:B142"/>
    <mergeCell ref="A133:B133"/>
    <mergeCell ref="A147:B147"/>
    <mergeCell ref="A154:B154"/>
    <mergeCell ref="A138:B138"/>
    <mergeCell ref="A163:B163"/>
    <mergeCell ref="A164:B164"/>
    <mergeCell ref="A144:B144"/>
    <mergeCell ref="A145:B145"/>
    <mergeCell ref="A179:B179"/>
    <mergeCell ref="A129:B129"/>
    <mergeCell ref="A130:B130"/>
    <mergeCell ref="A134:B134"/>
    <mergeCell ref="A137:B137"/>
    <mergeCell ref="A177:B177"/>
    <mergeCell ref="A148:B148"/>
    <mergeCell ref="A100:B100"/>
    <mergeCell ref="A101:B101"/>
    <mergeCell ref="A102:B102"/>
    <mergeCell ref="A103:B103"/>
    <mergeCell ref="A104:B104"/>
    <mergeCell ref="A105:B105"/>
    <mergeCell ref="A115:B115"/>
    <mergeCell ref="A106:B106"/>
    <mergeCell ref="A107:B107"/>
    <mergeCell ref="A108:B108"/>
    <mergeCell ref="A109:B109"/>
    <mergeCell ref="A110:B110"/>
    <mergeCell ref="A111:B111"/>
    <mergeCell ref="A120:B120"/>
    <mergeCell ref="A112:B112"/>
    <mergeCell ref="A113:B113"/>
    <mergeCell ref="A118:B118"/>
    <mergeCell ref="A116:B116"/>
    <mergeCell ref="A90:B90"/>
    <mergeCell ref="A92:B92"/>
    <mergeCell ref="A94:B94"/>
    <mergeCell ref="A95:B95"/>
    <mergeCell ref="A98:B98"/>
    <mergeCell ref="A99:B99"/>
    <mergeCell ref="A96:B96"/>
    <mergeCell ref="A93:B93"/>
    <mergeCell ref="A97:B97"/>
    <mergeCell ref="A80:B80"/>
    <mergeCell ref="A81:B81"/>
    <mergeCell ref="A82:B82"/>
    <mergeCell ref="A84:B84"/>
    <mergeCell ref="A78:B78"/>
    <mergeCell ref="A83:B83"/>
    <mergeCell ref="A26:B26"/>
    <mergeCell ref="A43:B43"/>
    <mergeCell ref="A44:B44"/>
    <mergeCell ref="A35:B35"/>
    <mergeCell ref="A37:B37"/>
    <mergeCell ref="A38:B38"/>
    <mergeCell ref="A41:B41"/>
    <mergeCell ref="A42:B42"/>
    <mergeCell ref="A50:B50"/>
    <mergeCell ref="A54:B54"/>
    <mergeCell ref="A55:B55"/>
    <mergeCell ref="A56:B56"/>
    <mergeCell ref="A57:B57"/>
    <mergeCell ref="A62:B62"/>
    <mergeCell ref="A63:B63"/>
    <mergeCell ref="A71:B71"/>
    <mergeCell ref="A72:B72"/>
    <mergeCell ref="A73:B73"/>
    <mergeCell ref="A2:B2"/>
    <mergeCell ref="A5:B5"/>
    <mergeCell ref="A6:B6"/>
    <mergeCell ref="A7:B7"/>
    <mergeCell ref="A8:B8"/>
    <mergeCell ref="A16:B16"/>
    <mergeCell ref="A17:B17"/>
    <mergeCell ref="A18:B18"/>
    <mergeCell ref="A9:B9"/>
    <mergeCell ref="A10:B10"/>
    <mergeCell ref="A11:B11"/>
    <mergeCell ref="A14:B14"/>
    <mergeCell ref="A15:B15"/>
    <mergeCell ref="A3:B3"/>
    <mergeCell ref="A13:B13"/>
    <mergeCell ref="A12:B12"/>
    <mergeCell ref="A4:B4"/>
    <mergeCell ref="A19:B19"/>
    <mergeCell ref="A20:B20"/>
    <mergeCell ref="A21:B21"/>
    <mergeCell ref="A28:B28"/>
    <mergeCell ref="A29:B29"/>
    <mergeCell ref="A30:B30"/>
    <mergeCell ref="A141:B141"/>
    <mergeCell ref="A136:B136"/>
    <mergeCell ref="A140:B140"/>
    <mergeCell ref="A135:B135"/>
    <mergeCell ref="A31:B31"/>
    <mergeCell ref="A32:B32"/>
    <mergeCell ref="A22:B22"/>
    <mergeCell ref="A23:B23"/>
    <mergeCell ref="A24:B24"/>
    <mergeCell ref="A25:B25"/>
    <mergeCell ref="A85:B85"/>
    <mergeCell ref="A86:B86"/>
    <mergeCell ref="A87:B87"/>
    <mergeCell ref="A88:B88"/>
    <mergeCell ref="A89:B89"/>
    <mergeCell ref="A76:B76"/>
    <mergeCell ref="A77:B77"/>
    <mergeCell ref="A79:B79"/>
    <mergeCell ref="A316:B316"/>
    <mergeCell ref="A317:B317"/>
    <mergeCell ref="A318:B318"/>
    <mergeCell ref="A319:B319"/>
    <mergeCell ref="A320:B320"/>
    <mergeCell ref="A329:B329"/>
    <mergeCell ref="A308:B308"/>
    <mergeCell ref="A327:B327"/>
    <mergeCell ref="A328:B328"/>
    <mergeCell ref="A309:B309"/>
    <mergeCell ref="A321:B321"/>
    <mergeCell ref="A322:B322"/>
    <mergeCell ref="A326:B326"/>
    <mergeCell ref="A310:B310"/>
    <mergeCell ref="A311:B311"/>
    <mergeCell ref="A323:B323"/>
    <mergeCell ref="A324:B324"/>
    <mergeCell ref="A312:B312"/>
    <mergeCell ref="A313:B313"/>
    <mergeCell ref="A314:B314"/>
    <mergeCell ref="A183:B183"/>
    <mergeCell ref="A184:B184"/>
    <mergeCell ref="A178:B178"/>
    <mergeCell ref="A215:B215"/>
    <mergeCell ref="A216:B216"/>
    <mergeCell ref="A217:B217"/>
    <mergeCell ref="A218:B218"/>
    <mergeCell ref="A219:B219"/>
    <mergeCell ref="A209:B209"/>
    <mergeCell ref="A211:B211"/>
    <mergeCell ref="A214:B214"/>
    <mergeCell ref="A190:B190"/>
    <mergeCell ref="A195:B195"/>
    <mergeCell ref="A194:B194"/>
    <mergeCell ref="A191:B191"/>
    <mergeCell ref="A192:B192"/>
    <mergeCell ref="A204:B204"/>
    <mergeCell ref="A181:B181"/>
    <mergeCell ref="A186:B186"/>
    <mergeCell ref="A188:B188"/>
    <mergeCell ref="A189:B189"/>
    <mergeCell ref="A187:B187"/>
    <mergeCell ref="A74:B74"/>
    <mergeCell ref="A75:B75"/>
    <mergeCell ref="A64:B64"/>
    <mergeCell ref="A65:B65"/>
    <mergeCell ref="A66:B66"/>
    <mergeCell ref="A67:B67"/>
    <mergeCell ref="A68:B68"/>
    <mergeCell ref="A69:B69"/>
    <mergeCell ref="A70:B70"/>
    <mergeCell ref="A46:B46"/>
    <mergeCell ref="A53:B53"/>
    <mergeCell ref="A33:B33"/>
    <mergeCell ref="A48:B48"/>
    <mergeCell ref="A49:B49"/>
    <mergeCell ref="A34:B34"/>
    <mergeCell ref="A36:B36"/>
    <mergeCell ref="A40:B40"/>
    <mergeCell ref="A315:B315"/>
    <mergeCell ref="A39:B39"/>
    <mergeCell ref="A300:B300"/>
    <mergeCell ref="A301:B301"/>
    <mergeCell ref="A302:B302"/>
    <mergeCell ref="A303:B303"/>
    <mergeCell ref="A304:B304"/>
    <mergeCell ref="A305:B305"/>
    <mergeCell ref="A306:B306"/>
    <mergeCell ref="A307:B307"/>
    <mergeCell ref="A47:B47"/>
    <mergeCell ref="A58:B58"/>
    <mergeCell ref="A59:B59"/>
    <mergeCell ref="A60:B60"/>
    <mergeCell ref="A45:B45"/>
    <mergeCell ref="A61:B61"/>
    <mergeCell ref="A426:B426"/>
    <mergeCell ref="A412:B412"/>
    <mergeCell ref="A417:B417"/>
    <mergeCell ref="A419:B419"/>
    <mergeCell ref="A420:B420"/>
    <mergeCell ref="A421:B421"/>
    <mergeCell ref="A422:B422"/>
    <mergeCell ref="A423:B423"/>
    <mergeCell ref="A418:B418"/>
    <mergeCell ref="A413:B413"/>
    <mergeCell ref="A415:B415"/>
    <mergeCell ref="A416:B416"/>
    <mergeCell ref="A414:B414"/>
    <mergeCell ref="A424:B424"/>
    <mergeCell ref="A348:B348"/>
    <mergeCell ref="A349:B349"/>
    <mergeCell ref="A338:B338"/>
    <mergeCell ref="A337:B337"/>
    <mergeCell ref="A339:B339"/>
    <mergeCell ref="A340:B340"/>
    <mergeCell ref="A341:B341"/>
    <mergeCell ref="A342:B342"/>
    <mergeCell ref="A425:B425"/>
    <mergeCell ref="A344:B344"/>
    <mergeCell ref="A345:B345"/>
    <mergeCell ref="A350:B350"/>
    <mergeCell ref="A353:B353"/>
    <mergeCell ref="A354:B354"/>
    <mergeCell ref="A357:B357"/>
    <mergeCell ref="A356:B356"/>
    <mergeCell ref="A355:B355"/>
    <mergeCell ref="A351:B351"/>
    <mergeCell ref="A352:B352"/>
    <mergeCell ref="A27:B27"/>
    <mergeCell ref="A427:B427"/>
    <mergeCell ref="A428:B428"/>
    <mergeCell ref="A429:B429"/>
    <mergeCell ref="A430:B430"/>
    <mergeCell ref="A431:B431"/>
    <mergeCell ref="A432:B432"/>
    <mergeCell ref="A433:B433"/>
    <mergeCell ref="A376:B376"/>
    <mergeCell ref="A332:B332"/>
    <mergeCell ref="A346:B346"/>
    <mergeCell ref="A347:B347"/>
    <mergeCell ref="A358:B358"/>
    <mergeCell ref="A359:B359"/>
    <mergeCell ref="A360:B360"/>
    <mergeCell ref="A362:B362"/>
    <mergeCell ref="A363:B363"/>
    <mergeCell ref="A364:B364"/>
    <mergeCell ref="A375:B375"/>
    <mergeCell ref="A336:B336"/>
    <mergeCell ref="A374:B374"/>
    <mergeCell ref="A334:B334"/>
    <mergeCell ref="A333:B333"/>
    <mergeCell ref="A365:B365"/>
  </mergeCells>
  <phoneticPr fontId="5" type="noConversion"/>
  <dataValidations count="9">
    <dataValidation type="list" allowBlank="1" showInputMessage="1" showErrorMessage="1" prompt="90er=14 kg/m_x000a_125er=18 kg/m" sqref="M91:U91" xr:uid="{8EA55DF1-BF45-4050-9CEE-F2253721B90D}">
      <formula1>"14, 18"</formula1>
    </dataValidation>
    <dataValidation type="list" allowBlank="1" showInputMessage="1" showErrorMessage="1" prompt="50er=4 kg/m_x000a_90er=14 kg/m_x000a_125er=18 kg/m" sqref="M97:U97" xr:uid="{A9D8973C-4E0A-4402-AC83-668CC6742FB5}">
      <formula1>"4, 14, 18"</formula1>
    </dataValidation>
    <dataValidation allowBlank="1" showInputMessage="1" showErrorMessage="1" sqref="I22" xr:uid="{80DD7ECD-27AD-4CB2-8411-38E1B3BC2F09}"/>
    <dataValidation type="list" allowBlank="1" showInputMessage="1" showErrorMessage="1" sqref="I21" xr:uid="{143CC422-3C06-46EC-9228-BA0CEB28B2B5}">
      <formula1>"8,13,17,18,21,25,27,33"</formula1>
    </dataValidation>
    <dataValidation type="list" allowBlank="1" showInputMessage="1" showErrorMessage="1" sqref="I29" xr:uid="{355315C2-3EF7-4480-8C4C-CE6ADD8D521A}">
      <formula1>"FRONT, OPEN THROUGHT, REAR"</formula1>
    </dataValidation>
    <dataValidation type="list" allowBlank="1" showInputMessage="1" showErrorMessage="1" sqref="M392:U392" xr:uid="{D1144F5D-3E78-44CA-AB8D-7696C351D5EA}">
      <formula1>"Stadnard 400x150, non std.(enter size)"</formula1>
    </dataValidation>
    <dataValidation type="list" allowBlank="1" showInputMessage="1" showErrorMessage="1" sqref="M381:U381" xr:uid="{FA8B3904-5C21-40D9-BC76-5938CFE91BB1}">
      <formula1>"Stadnard 150x300, non std.(enter size)"</formula1>
    </dataValidation>
    <dataValidation type="list" allowBlank="1" showInputMessage="1" showErrorMessage="1" sqref="M387:U387 M382:U382" xr:uid="{806CAC26-BCB5-48D6-89BF-F5DED22D4E27}">
      <formula1>"315,non std. distance"</formula1>
    </dataValidation>
    <dataValidation type="list" allowBlank="1" showInputMessage="1" showErrorMessage="1" sqref="M393:U393" xr:uid="{425F76B4-2242-47E2-8803-862F853CD248}">
      <mc:AlternateContent xmlns:x12ac="http://schemas.microsoft.com/office/spreadsheetml/2011/1/ac" xmlns:mc="http://schemas.openxmlformats.org/markup-compatibility/2006">
        <mc:Choice Requires="x12ac">
          <x12ac:list>175," ""non std"""</x12ac:list>
        </mc:Choice>
        <mc:Fallback>
          <formula1>"175, ""non std"""</formula1>
        </mc:Fallback>
      </mc:AlternateContent>
    </dataValidation>
  </dataValidations>
  <printOptions horizontalCentered="1"/>
  <pageMargins left="0.70866141732283472" right="0.70866141732283472" top="0.78740157480314965" bottom="0.78740157480314965" header="0.31496062992125984" footer="0.31496062992125984"/>
  <pageSetup paperSize="8" scale="38" orientation="portrait" r:id="rId1"/>
  <ignoredErrors>
    <ignoredError sqref="M88" twoDigitTextYear="1"/>
  </ignoredErrors>
  <extLst>
    <ext xmlns:x14="http://schemas.microsoft.com/office/spreadsheetml/2009/9/main" uri="{CCE6A557-97BC-4b89-ADB6-D9C93CAAB3DF}">
      <x14:dataValidations xmlns:xm="http://schemas.microsoft.com/office/excel/2006/main" count="46">
        <x14:dataValidation type="list" allowBlank="1" showInputMessage="1" showErrorMessage="1" xr:uid="{79B34041-F51B-463D-8F2C-A0D78CF32F0F}">
          <x14:formula1>
            <xm:f>selection!$B$4:$F$4</xm:f>
          </x14:formula1>
          <xm:sqref>M22:U22</xm:sqref>
        </x14:dataValidation>
        <x14:dataValidation type="list" allowBlank="1" showInputMessage="1" xr:uid="{64E46D6B-2BA7-4DB5-A2D6-2506E16D0AC7}">
          <x14:formula1>
            <xm:f>selection!$B$8:$K$8</xm:f>
          </x14:formula1>
          <xm:sqref>Q45 M45:O45</xm:sqref>
        </x14:dataValidation>
        <x14:dataValidation type="list" allowBlank="1" showInputMessage="1" xr:uid="{CB2A169A-8B42-4147-B2D1-74E91FF83E89}">
          <x14:formula1>
            <xm:f>selection!$B$5:$F$5</xm:f>
          </x14:formula1>
          <xm:sqref>M29:U29</xm:sqref>
        </x14:dataValidation>
        <x14:dataValidation type="list" allowBlank="1" showInputMessage="1" xr:uid="{7B3CF904-F67E-465A-98A2-E580468A6CC5}">
          <x14:formula1>
            <xm:f>selection!$B$3:$E$3</xm:f>
          </x14:formula1>
          <xm:sqref>M19:U19</xm:sqref>
        </x14:dataValidation>
        <x14:dataValidation type="list" allowBlank="1" showInputMessage="1" xr:uid="{008A9CA7-1AF5-45B3-BB0B-C735FD6ADF14}">
          <x14:formula1>
            <xm:f>selection!$B$1:$F$1</xm:f>
          </x14:formula1>
          <xm:sqref>M11:U11</xm:sqref>
        </x14:dataValidation>
        <x14:dataValidation type="list" allowBlank="1" showInputMessage="1" xr:uid="{42F333DF-3833-4A85-B7D5-74AB18D70DC7}">
          <x14:formula1>
            <xm:f>selection!$B$10:$H$10</xm:f>
          </x14:formula1>
          <xm:sqref>M47:U47</xm:sqref>
        </x14:dataValidation>
        <x14:dataValidation type="list" allowBlank="1" showInputMessage="1" xr:uid="{40097D3D-CA78-4326-837A-904167CE7EE9}">
          <x14:formula1>
            <xm:f>selection!$B$13:$E$13</xm:f>
          </x14:formula1>
          <xm:sqref>M50:U50</xm:sqref>
        </x14:dataValidation>
        <x14:dataValidation type="list" allowBlank="1" showInputMessage="1" xr:uid="{9F5F540C-9267-427F-93E8-46689109C1E3}">
          <x14:formula1>
            <xm:f>selection!$B$15:$D$15</xm:f>
          </x14:formula1>
          <xm:sqref>M56:U56</xm:sqref>
        </x14:dataValidation>
        <x14:dataValidation type="list" allowBlank="1" showInputMessage="1" showErrorMessage="1" xr:uid="{0D7028EE-5236-4A36-959D-3AE27FE33B65}">
          <x14:formula1>
            <xm:f>selection!$B$16:$F$16</xm:f>
          </x14:formula1>
          <xm:sqref>M74:U74</xm:sqref>
        </x14:dataValidation>
        <x14:dataValidation type="list" allowBlank="1" showInputMessage="1" xr:uid="{3C7AE3DB-4F60-4839-AAAE-467EBE646864}">
          <x14:formula1>
            <xm:f>selection!$B$17:$C$17</xm:f>
          </x14:formula1>
          <xm:sqref>M77:U77</xm:sqref>
        </x14:dataValidation>
        <x14:dataValidation type="list" allowBlank="1" showInputMessage="1" xr:uid="{040622B1-EB19-4FE4-8446-B7F66D426389}">
          <x14:formula1>
            <xm:f>selection!$B$6:$D$6</xm:f>
          </x14:formula1>
          <xm:sqref>M30:U30</xm:sqref>
        </x14:dataValidation>
        <x14:dataValidation type="list" allowBlank="1" showInputMessage="1" xr:uid="{0C53B6D7-0B4C-4E42-A7E5-BA0D08B44FF4}">
          <x14:formula1>
            <xm:f>selection!$B$18:$D$18</xm:f>
          </x14:formula1>
          <xm:sqref>M78:U78</xm:sqref>
        </x14:dataValidation>
        <x14:dataValidation type="list" allowBlank="1" showInputMessage="1" xr:uid="{A0E89CF0-C316-4366-8D13-37FF982B79EC}">
          <x14:formula1>
            <xm:f>selection!$B$19:$D$19</xm:f>
          </x14:formula1>
          <xm:sqref>M84:U84</xm:sqref>
        </x14:dataValidation>
        <x14:dataValidation type="list" allowBlank="1" showInputMessage="1" xr:uid="{EF512319-1AD3-4E16-9E41-05195EA0E59A}">
          <x14:formula1>
            <xm:f>selection!$B$20:$D$20</xm:f>
          </x14:formula1>
          <xm:sqref>M95:U95</xm:sqref>
        </x14:dataValidation>
        <x14:dataValidation type="list" allowBlank="1" showInputMessage="1" xr:uid="{B265ABBE-4165-493E-A0E6-8FB0C1A850B5}">
          <x14:formula1>
            <xm:f>selection!$B$21:$D$21</xm:f>
          </x14:formula1>
          <xm:sqref>M109:U109</xm:sqref>
        </x14:dataValidation>
        <x14:dataValidation type="list" allowBlank="1" showInputMessage="1" xr:uid="{58549C05-729C-48F3-92BC-9568C97D041B}">
          <x14:formula1>
            <xm:f>selection!$B$22:$D$22</xm:f>
          </x14:formula1>
          <xm:sqref>M110:U110</xm:sqref>
        </x14:dataValidation>
        <x14:dataValidation type="list" allowBlank="1" showInputMessage="1" xr:uid="{95780225-DA45-4D39-A31D-CB3CF33DB996}">
          <x14:formula1>
            <xm:f>selection!$B$23:$D$23</xm:f>
          </x14:formula1>
          <xm:sqref>M111:U111</xm:sqref>
        </x14:dataValidation>
        <x14:dataValidation type="list" allowBlank="1" showInputMessage="1" xr:uid="{4250E692-BB32-44E6-9630-7E114D9EA4CF}">
          <x14:formula1>
            <xm:f>selection!$B$24:$F$24</xm:f>
          </x14:formula1>
          <xm:sqref>M112:U112</xm:sqref>
        </x14:dataValidation>
        <x14:dataValidation type="list" allowBlank="1" showInputMessage="1" xr:uid="{FFE74DFE-DA92-49FD-86E0-0DCC820C097D}">
          <x14:formula1>
            <xm:f>selection!$B$25:$D$25</xm:f>
          </x14:formula1>
          <xm:sqref>M113:U113</xm:sqref>
        </x14:dataValidation>
        <x14:dataValidation type="list" allowBlank="1" showInputMessage="1" xr:uid="{686331A5-EC17-4759-B5F7-9BB65D9BB738}">
          <x14:formula1>
            <xm:f>selection!$B$26:$D$26</xm:f>
          </x14:formula1>
          <xm:sqref>M114:U114</xm:sqref>
        </x14:dataValidation>
        <x14:dataValidation type="list" allowBlank="1" showInputMessage="1" xr:uid="{33985A22-86B6-49E0-93DE-0B0BE4E99A0C}">
          <x14:formula1>
            <xm:f>selection!$B$28:$F$28</xm:f>
          </x14:formula1>
          <xm:sqref>M117:U117</xm:sqref>
        </x14:dataValidation>
        <x14:dataValidation type="list" allowBlank="1" showInputMessage="1" xr:uid="{5F78B4A0-B13C-462F-B926-D619BC7FABA6}">
          <x14:formula1>
            <xm:f>selection!$B$29:$D$29</xm:f>
          </x14:formula1>
          <xm:sqref>M125:U125</xm:sqref>
        </x14:dataValidation>
        <x14:dataValidation type="list" allowBlank="1" showInputMessage="1" xr:uid="{AFCA9025-DA00-436D-A714-CB0D2EEFF3B9}">
          <x14:formula1>
            <xm:f>selection!$B$30:$D$30</xm:f>
          </x14:formula1>
          <xm:sqref>M128:U128</xm:sqref>
        </x14:dataValidation>
        <x14:dataValidation type="list" allowBlank="1" showInputMessage="1" xr:uid="{AD20C331-3731-4ED2-8414-E2706BD1788C}">
          <x14:formula1>
            <xm:f>selection!$B$31:$D$31</xm:f>
          </x14:formula1>
          <xm:sqref>M129:U129</xm:sqref>
        </x14:dataValidation>
        <x14:dataValidation type="list" allowBlank="1" showInputMessage="1" xr:uid="{721FAA7D-8974-4F8A-BEFD-5D7AC8A467A2}">
          <x14:formula1>
            <xm:f>selection!$B$32:$D$32</xm:f>
          </x14:formula1>
          <xm:sqref>M130:U130</xm:sqref>
        </x14:dataValidation>
        <x14:dataValidation type="list" allowBlank="1" showInputMessage="1" xr:uid="{494B6FC3-1959-42B4-A2D1-593171793BF5}">
          <x14:formula1>
            <xm:f>selection!$B$33:$D$33</xm:f>
          </x14:formula1>
          <xm:sqref>M131:U131</xm:sqref>
        </x14:dataValidation>
        <x14:dataValidation type="list" allowBlank="1" showInputMessage="1" xr:uid="{E842A7D2-7CDF-401E-B351-30211402BEE1}">
          <x14:formula1>
            <xm:f>selection!$B$34:$D$34</xm:f>
          </x14:formula1>
          <xm:sqref>M132:U132</xm:sqref>
        </x14:dataValidation>
        <x14:dataValidation type="list" allowBlank="1" showInputMessage="1" xr:uid="{68251BBE-196E-4ECD-B440-60EE7274C58C}">
          <x14:formula1>
            <xm:f>selection!$B$35:$D$35</xm:f>
          </x14:formula1>
          <xm:sqref>M134:U134</xm:sqref>
        </x14:dataValidation>
        <x14:dataValidation type="list" allowBlank="1" showInputMessage="1" xr:uid="{1D826953-C188-4942-9C2E-81D0DED42546}">
          <x14:formula1>
            <xm:f>selection!$B$36:$D$36</xm:f>
          </x14:formula1>
          <xm:sqref>M135:U135</xm:sqref>
        </x14:dataValidation>
        <x14:dataValidation type="list" allowBlank="1" showInputMessage="1" xr:uid="{3D15B363-7D26-45D4-8748-9B6A2C1A13DB}">
          <x14:formula1>
            <xm:f>selection!$B$37:$C$37</xm:f>
          </x14:formula1>
          <xm:sqref>M136:U136</xm:sqref>
        </x14:dataValidation>
        <x14:dataValidation type="list" allowBlank="1" showInputMessage="1" xr:uid="{4F21FA1D-003C-4A8E-8F31-0A85C9735CA8}">
          <x14:formula1>
            <xm:f>selection!$B$38:$D$38</xm:f>
          </x14:formula1>
          <xm:sqref>M137:U137</xm:sqref>
        </x14:dataValidation>
        <x14:dataValidation type="list" allowBlank="1" showInputMessage="1" xr:uid="{D3155D89-98CD-4BE0-A969-983E2F7B84A1}">
          <x14:formula1>
            <xm:f>selection!$B$39:$D$39</xm:f>
          </x14:formula1>
          <xm:sqref>M138:U138</xm:sqref>
        </x14:dataValidation>
        <x14:dataValidation type="list" allowBlank="1" showInputMessage="1" xr:uid="{607F513A-5188-47B3-BEF3-8BBD0703EEB7}">
          <x14:formula1>
            <xm:f>selection!$B$40:$D$40</xm:f>
          </x14:formula1>
          <xm:sqref>M139:U139</xm:sqref>
        </x14:dataValidation>
        <x14:dataValidation type="list" allowBlank="1" showInputMessage="1" xr:uid="{BF24CA60-7BBC-4780-8A4F-976EBFD913FB}">
          <x14:formula1>
            <xm:f>selection!$B$41:$D$41</xm:f>
          </x14:formula1>
          <xm:sqref>M140:U140</xm:sqref>
        </x14:dataValidation>
        <x14:dataValidation type="list" allowBlank="1" showInputMessage="1" xr:uid="{86E078B5-A4B0-4BF4-938E-0076EBDF9F12}">
          <x14:formula1>
            <xm:f>selection!$B$42:$D$42</xm:f>
          </x14:formula1>
          <xm:sqref>M141:U141</xm:sqref>
        </x14:dataValidation>
        <x14:dataValidation type="list" allowBlank="1" showInputMessage="1" xr:uid="{2F665CF2-0231-407A-93AF-288C82C21C6B}">
          <x14:formula1>
            <xm:f>selection!$B$12:$F$12</xm:f>
          </x14:formula1>
          <xm:sqref>M49:U49</xm:sqref>
        </x14:dataValidation>
        <x14:dataValidation type="list" allowBlank="1" showInputMessage="1" showErrorMessage="1" xr:uid="{567147EA-B143-4067-BF97-2ABFE03FB3A1}">
          <x14:formula1>
            <xm:f>selection!$B$7:$D$7</xm:f>
          </x14:formula1>
          <xm:sqref>M33:U33</xm:sqref>
        </x14:dataValidation>
        <x14:dataValidation type="list" allowBlank="1" showInputMessage="1" xr:uid="{DD28D3C2-1E17-41E8-9A21-1151417187C7}">
          <x14:formula1>
            <xm:f>selection!$B$2:$C$2</xm:f>
          </x14:formula1>
          <xm:sqref>M13:U13</xm:sqref>
        </x14:dataValidation>
        <x14:dataValidation type="list" allowBlank="1" showInputMessage="1" xr:uid="{F7A18DD1-2BE1-4E16-B0FB-D8706B74CBBA}">
          <x14:formula1>
            <xm:f>selection!$B$11:$G$11</xm:f>
          </x14:formula1>
          <xm:sqref>M48:U48</xm:sqref>
        </x14:dataValidation>
        <x14:dataValidation type="list" allowBlank="1" showInputMessage="1" xr:uid="{9BA3605C-E328-4E85-84D9-373F515D0C20}">
          <x14:formula1>
            <xm:f>selection!$B$9:$E$9</xm:f>
          </x14:formula1>
          <xm:sqref>M46:U46</xm:sqref>
        </x14:dataValidation>
        <x14:dataValidation type="list" allowBlank="1" showInputMessage="1" xr:uid="{2F4F73EB-B2EE-4087-A342-FD4C0A8E55D9}">
          <x14:formula1>
            <xm:f>selection!$B$14:$E$14</xm:f>
          </x14:formula1>
          <xm:sqref>M53:U53</xm:sqref>
        </x14:dataValidation>
        <x14:dataValidation type="list" allowBlank="1" showInputMessage="1" showErrorMessage="1" xr:uid="{40AC44D7-2DD0-485D-B72E-E5347EDEC13A}">
          <x14:formula1>
            <xm:f>selection!$B$76:$C$76</xm:f>
          </x14:formula1>
          <xm:sqref>M277:U277</xm:sqref>
        </x14:dataValidation>
        <x14:dataValidation type="list" allowBlank="1" showInputMessage="1" xr:uid="{FCF5FA00-7EC9-4A13-9792-51A496A153B5}">
          <x14:formula1>
            <xm:f>selection!$B$80:$F$80</xm:f>
          </x14:formula1>
          <xm:sqref>M120:U120</xm:sqref>
        </x14:dataValidation>
        <x14:dataValidation type="list" allowBlank="1" showInputMessage="1" xr:uid="{55EF4ACB-6881-4241-A022-FB117F407D99}">
          <x14:formula1>
            <xm:f>selection!$B$27:$E$27</xm:f>
          </x14:formula1>
          <xm:sqref>M115:U115</xm:sqref>
        </x14:dataValidation>
        <x14:dataValidation type="list" allowBlank="1" showInputMessage="1" xr:uid="{C140EB63-EE64-4197-9ACF-613786322842}">
          <x14:formula1>
            <xm:f>selection!$B$78:$E$78</xm:f>
          </x14:formula1>
          <xm:sqref>M116:U116</xm:sqref>
        </x14:dataValidation>
        <x14:dataValidation type="list" allowBlank="1" showInputMessage="1" xr:uid="{2F11761B-9E2C-4698-A8FD-9CDB77D5A97E}">
          <x14:formula1>
            <xm:f>selection!$B$79:$C$79</xm:f>
          </x14:formula1>
          <xm:sqref>M118:U118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A738A-9381-4E6B-9CB8-F9E3B12F4508}">
  <dimension ref="A1:D9"/>
  <sheetViews>
    <sheetView tabSelected="1" workbookViewId="0">
      <selection activeCell="D12" sqref="D12"/>
    </sheetView>
  </sheetViews>
  <sheetFormatPr defaultColWidth="8.85546875" defaultRowHeight="15" x14ac:dyDescent="0.25"/>
  <cols>
    <col min="2" max="2" width="23.5703125" customWidth="1"/>
    <col min="3" max="3" width="42.7109375" customWidth="1"/>
  </cols>
  <sheetData>
    <row r="1" spans="1:4" x14ac:dyDescent="0.25">
      <c r="A1" t="s">
        <v>599</v>
      </c>
      <c r="B1" t="s">
        <v>600</v>
      </c>
      <c r="D1" t="s">
        <v>761</v>
      </c>
    </row>
    <row r="2" spans="1:4" x14ac:dyDescent="0.25">
      <c r="A2">
        <v>260320</v>
      </c>
      <c r="B2" s="169" t="s">
        <v>601</v>
      </c>
      <c r="D2" s="197" t="b">
        <v>1</v>
      </c>
    </row>
    <row r="3" spans="1:4" x14ac:dyDescent="0.25">
      <c r="B3" s="169" t="s">
        <v>602</v>
      </c>
      <c r="D3" s="197" t="b">
        <v>1</v>
      </c>
    </row>
    <row r="4" spans="1:4" x14ac:dyDescent="0.25">
      <c r="B4" s="169" t="s">
        <v>603</v>
      </c>
      <c r="D4" s="197" t="b">
        <v>1</v>
      </c>
    </row>
    <row r="5" spans="1:4" x14ac:dyDescent="0.25">
      <c r="D5" s="197" t="b">
        <v>0</v>
      </c>
    </row>
    <row r="6" spans="1:4" x14ac:dyDescent="0.25">
      <c r="A6">
        <v>260324</v>
      </c>
      <c r="B6" t="s">
        <v>604</v>
      </c>
      <c r="D6" s="197" t="b">
        <v>0</v>
      </c>
    </row>
    <row r="7" spans="1:4" x14ac:dyDescent="0.25">
      <c r="A7">
        <v>260325</v>
      </c>
      <c r="B7" t="s">
        <v>605</v>
      </c>
      <c r="D7" s="197" t="b">
        <v>0</v>
      </c>
    </row>
    <row r="8" spans="1:4" x14ac:dyDescent="0.25">
      <c r="A8">
        <v>260330</v>
      </c>
      <c r="B8" t="s">
        <v>745</v>
      </c>
      <c r="C8" t="s">
        <v>744</v>
      </c>
      <c r="D8" s="197" t="b">
        <v>1</v>
      </c>
    </row>
    <row r="9" spans="1:4" x14ac:dyDescent="0.25">
      <c r="A9">
        <v>260407</v>
      </c>
      <c r="B9" s="196" t="s">
        <v>760</v>
      </c>
      <c r="C9" t="s">
        <v>759</v>
      </c>
      <c r="D9" s="197" t="b">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5240D-8C6F-4904-B1AA-CB0CFC57F5C0}">
  <dimension ref="A1:XFA166"/>
  <sheetViews>
    <sheetView topLeftCell="A60" zoomScale="115" zoomScaleNormal="115" workbookViewId="0">
      <selection activeCell="A78" sqref="A78"/>
    </sheetView>
  </sheetViews>
  <sheetFormatPr defaultColWidth="8.85546875" defaultRowHeight="15" x14ac:dyDescent="0.25"/>
  <cols>
    <col min="1" max="1" width="40.140625" customWidth="1"/>
    <col min="2" max="2" width="22.42578125" style="46" bestFit="1" customWidth="1"/>
    <col min="3" max="3" width="26.7109375" style="46" bestFit="1" customWidth="1"/>
    <col min="4" max="4" width="30" style="46" bestFit="1" customWidth="1"/>
    <col min="5" max="5" width="24.42578125" style="46" customWidth="1"/>
    <col min="6" max="7" width="24.5703125" customWidth="1"/>
    <col min="8" max="8" width="26.140625" customWidth="1"/>
    <col min="9" max="9" width="43.5703125" customWidth="1"/>
    <col min="10" max="10" width="18" customWidth="1"/>
    <col min="11" max="12" width="12.7109375" customWidth="1"/>
    <col min="13" max="13" width="11.42578125" customWidth="1"/>
    <col min="14" max="14" width="11" customWidth="1"/>
    <col min="15" max="15" width="12.28515625" customWidth="1"/>
  </cols>
  <sheetData>
    <row r="1" spans="1:1021 1027:2047 2053:3067 3073:4093 4099:5119 5125:6139 6145:7165 7171:8191 8197:9211 9217:10237 10243:11263 11269:12283 12289:13309 13315:14335 14341:15355 15361:16381" x14ac:dyDescent="0.25">
      <c r="A1" s="50" t="s">
        <v>20</v>
      </c>
      <c r="B1" s="46" t="s">
        <v>22</v>
      </c>
      <c r="C1" s="46" t="s">
        <v>21</v>
      </c>
      <c r="D1" s="46" t="s">
        <v>606</v>
      </c>
      <c r="E1" s="46" t="s">
        <v>607</v>
      </c>
    </row>
    <row r="2" spans="1:1021 1027:2047 2053:3067 3073:4093 4099:5119 5125:6139 6145:7165 7171:8191 8197:9211 9217:10237 10243:11263 11269:12283 12289:13309 13315:14335 14341:15355 15361:16381" x14ac:dyDescent="0.25">
      <c r="A2" s="50" t="s">
        <v>24</v>
      </c>
      <c r="B2" s="46" t="s">
        <v>11</v>
      </c>
      <c r="C2" s="46" t="s">
        <v>16</v>
      </c>
    </row>
    <row r="3" spans="1:1021 1027:2047 2053:3067 3073:4093 4099:5119 5125:6139 6145:7165 7171:8191 8197:9211 9217:10237 10243:11263 11269:12283 12289:13309 13315:14335 14341:15355 15361:16381" x14ac:dyDescent="0.25">
      <c r="A3" s="50" t="s">
        <v>30</v>
      </c>
      <c r="B3" s="46" t="s">
        <v>32</v>
      </c>
      <c r="C3" s="46" t="s">
        <v>33</v>
      </c>
      <c r="D3" s="46" t="s">
        <v>608</v>
      </c>
      <c r="E3" s="46" t="s">
        <v>609</v>
      </c>
    </row>
    <row r="4" spans="1:1021 1027:2047 2053:3067 3073:4093 4099:5119 5125:6139 6145:7165 7171:8191 8197:9211 9217:10237 10243:11263 11269:12283 12289:13309 13315:14335 14341:15355 15361:16381" x14ac:dyDescent="0.25">
      <c r="A4" s="50" t="s">
        <v>40</v>
      </c>
      <c r="B4" s="125">
        <v>1</v>
      </c>
      <c r="C4" s="125">
        <v>1.6</v>
      </c>
      <c r="D4" s="125">
        <v>2</v>
      </c>
    </row>
    <row r="5" spans="1:1021 1027:2047 2053:3067 3073:4093 4099:5119 5125:6139 6145:7165 7171:8191 8197:9211 9217:10237 10243:11263 11269:12283 12289:13309 13315:14335 14341:15355 15361:16381" x14ac:dyDescent="0.25">
      <c r="A5" s="50" t="s">
        <v>54</v>
      </c>
      <c r="B5" s="46" t="s">
        <v>55</v>
      </c>
      <c r="C5" s="46" t="s">
        <v>610</v>
      </c>
      <c r="D5" s="46" t="s">
        <v>56</v>
      </c>
      <c r="E5" s="46" t="s">
        <v>611</v>
      </c>
      <c r="F5" s="46" t="s">
        <v>612</v>
      </c>
      <c r="G5" s="46"/>
      <c r="H5" s="46"/>
    </row>
    <row r="6" spans="1:1021 1027:2047 2053:3067 3073:4093 4099:5119 5125:6139 6145:7165 7171:8191 8197:9211 9217:10237 10243:11263 11269:12283 12289:13309 13315:14335 14341:15355 15361:16381" x14ac:dyDescent="0.25">
      <c r="A6" s="50" t="s">
        <v>613</v>
      </c>
      <c r="B6" s="46" t="s">
        <v>11</v>
      </c>
      <c r="C6" s="46" t="s">
        <v>16</v>
      </c>
    </row>
    <row r="7" spans="1:1021 1027:2047 2053:3067 3073:4093 4099:5119 5125:6139 6145:7165 7171:8191 8197:9211 9217:10237 10243:11263 11269:12283 12289:13309 13315:14335 14341:15355 15361:16381" x14ac:dyDescent="0.25">
      <c r="A7" t="s">
        <v>59</v>
      </c>
      <c r="B7" s="46" t="s">
        <v>61</v>
      </c>
      <c r="C7" s="46" t="s">
        <v>60</v>
      </c>
    </row>
    <row r="8" spans="1:1021 1027:2047 2053:3067 3073:4093 4099:5119 5125:6139 6145:7165 7171:8191 8197:9211 9217:10237 10243:11263 11269:12283 12289:13309 13315:14335 14341:15355 15361:16381" x14ac:dyDescent="0.25">
      <c r="A8" s="120" t="s">
        <v>85</v>
      </c>
      <c r="B8" s="119" t="s">
        <v>86</v>
      </c>
      <c r="C8" s="119" t="s">
        <v>87</v>
      </c>
      <c r="D8" s="119" t="s">
        <v>614</v>
      </c>
      <c r="E8" s="119" t="s">
        <v>615</v>
      </c>
      <c r="F8" s="119" t="s">
        <v>616</v>
      </c>
    </row>
    <row r="9" spans="1:1021 1027:2047 2053:3067 3073:4093 4099:5119 5125:6139 6145:7165 7171:8191 8197:9211 9217:10237 10243:11263 11269:12283 12289:13309 13315:14335 14341:15355 15361:16381" s="119" customFormat="1" x14ac:dyDescent="0.25">
      <c r="A9" s="120" t="s">
        <v>88</v>
      </c>
      <c r="B9" s="119" t="s">
        <v>89</v>
      </c>
      <c r="C9" s="119" t="s">
        <v>106</v>
      </c>
      <c r="D9" s="119" t="s">
        <v>107</v>
      </c>
      <c r="E9" s="119" t="s">
        <v>617</v>
      </c>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E9" s="118"/>
      <c r="DK9" s="118"/>
      <c r="DQ9" s="118"/>
      <c r="DW9" s="118"/>
      <c r="EC9" s="118"/>
      <c r="EI9" s="118"/>
      <c r="EO9" s="118"/>
      <c r="EU9" s="118"/>
      <c r="FA9" s="118"/>
      <c r="FG9" s="118"/>
      <c r="FM9" s="118"/>
      <c r="FS9" s="118"/>
      <c r="FY9" s="118"/>
      <c r="GE9" s="118"/>
      <c r="GK9" s="118"/>
      <c r="GQ9" s="118"/>
      <c r="GW9" s="118"/>
      <c r="HC9" s="118"/>
      <c r="HI9" s="118"/>
      <c r="HO9" s="118"/>
      <c r="HU9" s="118"/>
      <c r="IA9" s="118"/>
      <c r="IG9" s="118"/>
      <c r="IM9" s="118"/>
      <c r="IS9" s="118"/>
      <c r="IY9" s="118"/>
      <c r="JE9" s="118"/>
      <c r="JK9" s="118"/>
      <c r="JQ9" s="118"/>
      <c r="JW9" s="118"/>
      <c r="KC9" s="118"/>
      <c r="KI9" s="118"/>
      <c r="KO9" s="118"/>
      <c r="KU9" s="118"/>
      <c r="LA9" s="118"/>
      <c r="LG9" s="118"/>
      <c r="LM9" s="118"/>
      <c r="LS9" s="118"/>
      <c r="LY9" s="118"/>
      <c r="ME9" s="118"/>
      <c r="MK9" s="118"/>
      <c r="MQ9" s="118"/>
      <c r="MW9" s="118"/>
      <c r="NC9" s="118"/>
      <c r="NI9" s="118"/>
      <c r="NO9" s="118"/>
      <c r="NU9" s="118"/>
      <c r="OA9" s="118"/>
      <c r="OG9" s="118"/>
      <c r="OM9" s="118"/>
      <c r="OS9" s="118"/>
      <c r="OY9" s="118"/>
      <c r="PE9" s="118"/>
      <c r="PK9" s="118"/>
      <c r="PQ9" s="118"/>
      <c r="PW9" s="118"/>
      <c r="QC9" s="118"/>
      <c r="QI9" s="118"/>
      <c r="QO9" s="118"/>
      <c r="QU9" s="118"/>
      <c r="RA9" s="118"/>
      <c r="RG9" s="118"/>
      <c r="RM9" s="118"/>
      <c r="RS9" s="118"/>
      <c r="RY9" s="118"/>
      <c r="SE9" s="118"/>
      <c r="SK9" s="118"/>
      <c r="SQ9" s="118"/>
      <c r="SW9" s="118"/>
      <c r="TC9" s="118"/>
      <c r="TI9" s="118"/>
      <c r="TO9" s="118"/>
      <c r="TU9" s="118"/>
      <c r="UA9" s="118"/>
      <c r="UG9" s="118"/>
      <c r="UM9" s="118"/>
      <c r="US9" s="118"/>
      <c r="UY9" s="118"/>
      <c r="VE9" s="118"/>
      <c r="VK9" s="118"/>
      <c r="VQ9" s="118"/>
      <c r="VW9" s="118"/>
      <c r="WC9" s="118"/>
      <c r="WI9" s="118"/>
      <c r="WO9" s="118"/>
      <c r="WU9" s="118"/>
      <c r="XA9" s="118"/>
      <c r="XG9" s="118"/>
      <c r="XM9" s="118"/>
      <c r="XS9" s="118"/>
      <c r="XY9" s="118"/>
      <c r="YE9" s="118"/>
      <c r="YK9" s="118"/>
      <c r="YQ9" s="118"/>
      <c r="YW9" s="118"/>
      <c r="ZC9" s="118"/>
      <c r="ZI9" s="118"/>
      <c r="ZO9" s="118"/>
      <c r="ZU9" s="118"/>
      <c r="AAA9" s="118"/>
      <c r="AAG9" s="118"/>
      <c r="AAM9" s="118"/>
      <c r="AAS9" s="118"/>
      <c r="AAY9" s="118"/>
      <c r="ABE9" s="118"/>
      <c r="ABK9" s="118"/>
      <c r="ABQ9" s="118"/>
      <c r="ABW9" s="118"/>
      <c r="ACC9" s="118"/>
      <c r="ACI9" s="118"/>
      <c r="ACO9" s="118"/>
      <c r="ACU9" s="118"/>
      <c r="ADA9" s="118"/>
      <c r="ADG9" s="118"/>
      <c r="ADM9" s="118"/>
      <c r="ADS9" s="118"/>
      <c r="ADY9" s="118"/>
      <c r="AEE9" s="118"/>
      <c r="AEK9" s="118"/>
      <c r="AEQ9" s="118"/>
      <c r="AEW9" s="118"/>
      <c r="AFC9" s="118"/>
      <c r="AFI9" s="118"/>
      <c r="AFO9" s="118"/>
      <c r="AFU9" s="118"/>
      <c r="AGA9" s="118"/>
      <c r="AGG9" s="118"/>
      <c r="AGM9" s="118"/>
      <c r="AGS9" s="118"/>
      <c r="AGY9" s="118"/>
      <c r="AHE9" s="118"/>
      <c r="AHK9" s="118"/>
      <c r="AHQ9" s="118"/>
      <c r="AHW9" s="118"/>
      <c r="AIC9" s="118"/>
      <c r="AII9" s="118"/>
      <c r="AIO9" s="118"/>
      <c r="AIU9" s="118"/>
      <c r="AJA9" s="118"/>
      <c r="AJG9" s="118"/>
      <c r="AJM9" s="118"/>
      <c r="AJS9" s="118"/>
      <c r="AJY9" s="118"/>
      <c r="AKE9" s="118"/>
      <c r="AKK9" s="118"/>
      <c r="AKQ9" s="118"/>
      <c r="AKW9" s="118"/>
      <c r="ALC9" s="118"/>
      <c r="ALI9" s="118"/>
      <c r="ALO9" s="118"/>
      <c r="ALU9" s="118"/>
      <c r="AMA9" s="118"/>
      <c r="AMG9" s="118"/>
      <c r="AMM9" s="118"/>
      <c r="AMS9" s="118"/>
      <c r="AMY9" s="118"/>
      <c r="ANE9" s="118"/>
      <c r="ANK9" s="118"/>
      <c r="ANQ9" s="118"/>
      <c r="ANW9" s="118"/>
      <c r="AOC9" s="118"/>
      <c r="AOI9" s="118"/>
      <c r="AOO9" s="118"/>
      <c r="AOU9" s="118"/>
      <c r="APA9" s="118"/>
      <c r="APG9" s="118"/>
      <c r="APM9" s="118"/>
      <c r="APS9" s="118"/>
      <c r="APY9" s="118"/>
      <c r="AQE9" s="118"/>
      <c r="AQK9" s="118"/>
      <c r="AQQ9" s="118"/>
      <c r="AQW9" s="118"/>
      <c r="ARC9" s="118"/>
      <c r="ARI9" s="118"/>
      <c r="ARO9" s="118"/>
      <c r="ARU9" s="118"/>
      <c r="ASA9" s="118"/>
      <c r="ASG9" s="118"/>
      <c r="ASM9" s="118"/>
      <c r="ASS9" s="118"/>
      <c r="ASY9" s="118"/>
      <c r="ATE9" s="118"/>
      <c r="ATK9" s="118"/>
      <c r="ATQ9" s="118"/>
      <c r="ATW9" s="118"/>
      <c r="AUC9" s="118"/>
      <c r="AUI9" s="118"/>
      <c r="AUO9" s="118"/>
      <c r="AUU9" s="118"/>
      <c r="AVA9" s="118"/>
      <c r="AVG9" s="118"/>
      <c r="AVM9" s="118"/>
      <c r="AVS9" s="118"/>
      <c r="AVY9" s="118"/>
      <c r="AWE9" s="118"/>
      <c r="AWK9" s="118"/>
      <c r="AWQ9" s="118"/>
      <c r="AWW9" s="118"/>
      <c r="AXC9" s="118"/>
      <c r="AXI9" s="118"/>
      <c r="AXO9" s="118"/>
      <c r="AXU9" s="118"/>
      <c r="AYA9" s="118"/>
      <c r="AYG9" s="118"/>
      <c r="AYM9" s="118"/>
      <c r="AYS9" s="118"/>
      <c r="AYY9" s="118"/>
      <c r="AZE9" s="118"/>
      <c r="AZK9" s="118"/>
      <c r="AZQ9" s="118"/>
      <c r="AZW9" s="118"/>
      <c r="BAC9" s="118"/>
      <c r="BAI9" s="118"/>
      <c r="BAO9" s="118"/>
      <c r="BAU9" s="118"/>
      <c r="BBA9" s="118"/>
      <c r="BBG9" s="118"/>
      <c r="BBM9" s="118"/>
      <c r="BBS9" s="118"/>
      <c r="BBY9" s="118"/>
      <c r="BCE9" s="118"/>
      <c r="BCK9" s="118"/>
      <c r="BCQ9" s="118"/>
      <c r="BCW9" s="118"/>
      <c r="BDC9" s="118"/>
      <c r="BDI9" s="118"/>
      <c r="BDO9" s="118"/>
      <c r="BDU9" s="118"/>
      <c r="BEA9" s="118"/>
      <c r="BEG9" s="118"/>
      <c r="BEM9" s="118"/>
      <c r="BES9" s="118"/>
      <c r="BEY9" s="118"/>
      <c r="BFE9" s="118"/>
      <c r="BFK9" s="118"/>
      <c r="BFQ9" s="118"/>
      <c r="BFW9" s="118"/>
      <c r="BGC9" s="118"/>
      <c r="BGI9" s="118"/>
      <c r="BGO9" s="118"/>
      <c r="BGU9" s="118"/>
      <c r="BHA9" s="118"/>
      <c r="BHG9" s="118"/>
      <c r="BHM9" s="118"/>
      <c r="BHS9" s="118"/>
      <c r="BHY9" s="118"/>
      <c r="BIE9" s="118"/>
      <c r="BIK9" s="118"/>
      <c r="BIQ9" s="118"/>
      <c r="BIW9" s="118"/>
      <c r="BJC9" s="118"/>
      <c r="BJI9" s="118"/>
      <c r="BJO9" s="118"/>
      <c r="BJU9" s="118"/>
      <c r="BKA9" s="118"/>
      <c r="BKG9" s="118"/>
      <c r="BKM9" s="118"/>
      <c r="BKS9" s="118"/>
      <c r="BKY9" s="118"/>
      <c r="BLE9" s="118"/>
      <c r="BLK9" s="118"/>
      <c r="BLQ9" s="118"/>
      <c r="BLW9" s="118"/>
      <c r="BMC9" s="118"/>
      <c r="BMI9" s="118"/>
      <c r="BMO9" s="118"/>
      <c r="BMU9" s="118"/>
      <c r="BNA9" s="118"/>
      <c r="BNG9" s="118"/>
      <c r="BNM9" s="118"/>
      <c r="BNS9" s="118"/>
      <c r="BNY9" s="118"/>
      <c r="BOE9" s="118"/>
      <c r="BOK9" s="118"/>
      <c r="BOQ9" s="118"/>
      <c r="BOW9" s="118"/>
      <c r="BPC9" s="118"/>
      <c r="BPI9" s="118"/>
      <c r="BPO9" s="118"/>
      <c r="BPU9" s="118"/>
      <c r="BQA9" s="118"/>
      <c r="BQG9" s="118"/>
      <c r="BQM9" s="118"/>
      <c r="BQS9" s="118"/>
      <c r="BQY9" s="118"/>
      <c r="BRE9" s="118"/>
      <c r="BRK9" s="118"/>
      <c r="BRQ9" s="118"/>
      <c r="BRW9" s="118"/>
      <c r="BSC9" s="118"/>
      <c r="BSI9" s="118"/>
      <c r="BSO9" s="118"/>
      <c r="BSU9" s="118"/>
      <c r="BTA9" s="118"/>
      <c r="BTG9" s="118"/>
      <c r="BTM9" s="118"/>
      <c r="BTS9" s="118"/>
      <c r="BTY9" s="118"/>
      <c r="BUE9" s="118"/>
      <c r="BUK9" s="118"/>
      <c r="BUQ9" s="118"/>
      <c r="BUW9" s="118"/>
      <c r="BVC9" s="118"/>
      <c r="BVI9" s="118"/>
      <c r="BVO9" s="118"/>
      <c r="BVU9" s="118"/>
      <c r="BWA9" s="118"/>
      <c r="BWG9" s="118"/>
      <c r="BWM9" s="118"/>
      <c r="BWS9" s="118"/>
      <c r="BWY9" s="118"/>
      <c r="BXE9" s="118"/>
      <c r="BXK9" s="118"/>
      <c r="BXQ9" s="118"/>
      <c r="BXW9" s="118"/>
      <c r="BYC9" s="118"/>
      <c r="BYI9" s="118"/>
      <c r="BYO9" s="118"/>
      <c r="BYU9" s="118"/>
      <c r="BZA9" s="118"/>
      <c r="BZG9" s="118"/>
      <c r="BZM9" s="118"/>
      <c r="BZS9" s="118"/>
      <c r="BZY9" s="118"/>
      <c r="CAE9" s="118"/>
      <c r="CAK9" s="118"/>
      <c r="CAQ9" s="118"/>
      <c r="CAW9" s="118"/>
      <c r="CBC9" s="118"/>
      <c r="CBI9" s="118"/>
      <c r="CBO9" s="118"/>
      <c r="CBU9" s="118"/>
      <c r="CCA9" s="118"/>
      <c r="CCG9" s="118"/>
      <c r="CCM9" s="118"/>
      <c r="CCS9" s="118"/>
      <c r="CCY9" s="118"/>
      <c r="CDE9" s="118"/>
      <c r="CDK9" s="118"/>
      <c r="CDQ9" s="118"/>
      <c r="CDW9" s="118"/>
      <c r="CEC9" s="118"/>
      <c r="CEI9" s="118"/>
      <c r="CEO9" s="118"/>
      <c r="CEU9" s="118"/>
      <c r="CFA9" s="118"/>
      <c r="CFG9" s="118"/>
      <c r="CFM9" s="118"/>
      <c r="CFS9" s="118"/>
      <c r="CFY9" s="118"/>
      <c r="CGE9" s="118"/>
      <c r="CGK9" s="118"/>
      <c r="CGQ9" s="118"/>
      <c r="CGW9" s="118"/>
      <c r="CHC9" s="118"/>
      <c r="CHI9" s="118"/>
      <c r="CHO9" s="118"/>
      <c r="CHU9" s="118"/>
      <c r="CIA9" s="118"/>
      <c r="CIG9" s="118"/>
      <c r="CIM9" s="118"/>
      <c r="CIS9" s="118"/>
      <c r="CIY9" s="118"/>
      <c r="CJE9" s="118"/>
      <c r="CJK9" s="118"/>
      <c r="CJQ9" s="118"/>
      <c r="CJW9" s="118"/>
      <c r="CKC9" s="118"/>
      <c r="CKI9" s="118"/>
      <c r="CKO9" s="118"/>
      <c r="CKU9" s="118"/>
      <c r="CLA9" s="118"/>
      <c r="CLG9" s="118"/>
      <c r="CLM9" s="118"/>
      <c r="CLS9" s="118"/>
      <c r="CLY9" s="118"/>
      <c r="CME9" s="118"/>
      <c r="CMK9" s="118"/>
      <c r="CMQ9" s="118"/>
      <c r="CMW9" s="118"/>
      <c r="CNC9" s="118"/>
      <c r="CNI9" s="118"/>
      <c r="CNO9" s="118"/>
      <c r="CNU9" s="118"/>
      <c r="COA9" s="118"/>
      <c r="COG9" s="118"/>
      <c r="COM9" s="118"/>
      <c r="COS9" s="118"/>
      <c r="COY9" s="118"/>
      <c r="CPE9" s="118"/>
      <c r="CPK9" s="118"/>
      <c r="CPQ9" s="118"/>
      <c r="CPW9" s="118"/>
      <c r="CQC9" s="118"/>
      <c r="CQI9" s="118"/>
      <c r="CQO9" s="118"/>
      <c r="CQU9" s="118"/>
      <c r="CRA9" s="118"/>
      <c r="CRG9" s="118"/>
      <c r="CRM9" s="118"/>
      <c r="CRS9" s="118"/>
      <c r="CRY9" s="118"/>
      <c r="CSE9" s="118"/>
      <c r="CSK9" s="118"/>
      <c r="CSQ9" s="118"/>
      <c r="CSW9" s="118"/>
      <c r="CTC9" s="118"/>
      <c r="CTI9" s="118"/>
      <c r="CTO9" s="118"/>
      <c r="CTU9" s="118"/>
      <c r="CUA9" s="118"/>
      <c r="CUG9" s="118"/>
      <c r="CUM9" s="118"/>
      <c r="CUS9" s="118"/>
      <c r="CUY9" s="118"/>
      <c r="CVE9" s="118"/>
      <c r="CVK9" s="118"/>
      <c r="CVQ9" s="118"/>
      <c r="CVW9" s="118"/>
      <c r="CWC9" s="118"/>
      <c r="CWI9" s="118"/>
      <c r="CWO9" s="118"/>
      <c r="CWU9" s="118"/>
      <c r="CXA9" s="118"/>
      <c r="CXG9" s="118"/>
      <c r="CXM9" s="118"/>
      <c r="CXS9" s="118"/>
      <c r="CXY9" s="118"/>
      <c r="CYE9" s="118"/>
      <c r="CYK9" s="118"/>
      <c r="CYQ9" s="118"/>
      <c r="CYW9" s="118"/>
      <c r="CZC9" s="118"/>
      <c r="CZI9" s="118"/>
      <c r="CZO9" s="118"/>
      <c r="CZU9" s="118"/>
      <c r="DAA9" s="118"/>
      <c r="DAG9" s="118"/>
      <c r="DAM9" s="118"/>
      <c r="DAS9" s="118"/>
      <c r="DAY9" s="118"/>
      <c r="DBE9" s="118"/>
      <c r="DBK9" s="118"/>
      <c r="DBQ9" s="118"/>
      <c r="DBW9" s="118"/>
      <c r="DCC9" s="118"/>
      <c r="DCI9" s="118"/>
      <c r="DCO9" s="118"/>
      <c r="DCU9" s="118"/>
      <c r="DDA9" s="118"/>
      <c r="DDG9" s="118"/>
      <c r="DDM9" s="118"/>
      <c r="DDS9" s="118"/>
      <c r="DDY9" s="118"/>
      <c r="DEE9" s="118"/>
      <c r="DEK9" s="118"/>
      <c r="DEQ9" s="118"/>
      <c r="DEW9" s="118"/>
      <c r="DFC9" s="118"/>
      <c r="DFI9" s="118"/>
      <c r="DFO9" s="118"/>
      <c r="DFU9" s="118"/>
      <c r="DGA9" s="118"/>
      <c r="DGG9" s="118"/>
      <c r="DGM9" s="118"/>
      <c r="DGS9" s="118"/>
      <c r="DGY9" s="118"/>
      <c r="DHE9" s="118"/>
      <c r="DHK9" s="118"/>
      <c r="DHQ9" s="118"/>
      <c r="DHW9" s="118"/>
      <c r="DIC9" s="118"/>
      <c r="DII9" s="118"/>
      <c r="DIO9" s="118"/>
      <c r="DIU9" s="118"/>
      <c r="DJA9" s="118"/>
      <c r="DJG9" s="118"/>
      <c r="DJM9" s="118"/>
      <c r="DJS9" s="118"/>
      <c r="DJY9" s="118"/>
      <c r="DKE9" s="118"/>
      <c r="DKK9" s="118"/>
      <c r="DKQ9" s="118"/>
      <c r="DKW9" s="118"/>
      <c r="DLC9" s="118"/>
      <c r="DLI9" s="118"/>
      <c r="DLO9" s="118"/>
      <c r="DLU9" s="118"/>
      <c r="DMA9" s="118"/>
      <c r="DMG9" s="118"/>
      <c r="DMM9" s="118"/>
      <c r="DMS9" s="118"/>
      <c r="DMY9" s="118"/>
      <c r="DNE9" s="118"/>
      <c r="DNK9" s="118"/>
      <c r="DNQ9" s="118"/>
      <c r="DNW9" s="118"/>
      <c r="DOC9" s="118"/>
      <c r="DOI9" s="118"/>
      <c r="DOO9" s="118"/>
      <c r="DOU9" s="118"/>
      <c r="DPA9" s="118"/>
      <c r="DPG9" s="118"/>
      <c r="DPM9" s="118"/>
      <c r="DPS9" s="118"/>
      <c r="DPY9" s="118"/>
      <c r="DQE9" s="118"/>
      <c r="DQK9" s="118"/>
      <c r="DQQ9" s="118"/>
      <c r="DQW9" s="118"/>
      <c r="DRC9" s="118"/>
      <c r="DRI9" s="118"/>
      <c r="DRO9" s="118"/>
      <c r="DRU9" s="118"/>
      <c r="DSA9" s="118"/>
      <c r="DSG9" s="118"/>
      <c r="DSM9" s="118"/>
      <c r="DSS9" s="118"/>
      <c r="DSY9" s="118"/>
      <c r="DTE9" s="118"/>
      <c r="DTK9" s="118"/>
      <c r="DTQ9" s="118"/>
      <c r="DTW9" s="118"/>
      <c r="DUC9" s="118"/>
      <c r="DUI9" s="118"/>
      <c r="DUO9" s="118"/>
      <c r="DUU9" s="118"/>
      <c r="DVA9" s="118"/>
      <c r="DVG9" s="118"/>
      <c r="DVM9" s="118"/>
      <c r="DVS9" s="118"/>
      <c r="DVY9" s="118"/>
      <c r="DWE9" s="118"/>
      <c r="DWK9" s="118"/>
      <c r="DWQ9" s="118"/>
      <c r="DWW9" s="118"/>
      <c r="DXC9" s="118"/>
      <c r="DXI9" s="118"/>
      <c r="DXO9" s="118"/>
      <c r="DXU9" s="118"/>
      <c r="DYA9" s="118"/>
      <c r="DYG9" s="118"/>
      <c r="DYM9" s="118"/>
      <c r="DYS9" s="118"/>
      <c r="DYY9" s="118"/>
      <c r="DZE9" s="118"/>
      <c r="DZK9" s="118"/>
      <c r="DZQ9" s="118"/>
      <c r="DZW9" s="118"/>
      <c r="EAC9" s="118"/>
      <c r="EAI9" s="118"/>
      <c r="EAO9" s="118"/>
      <c r="EAU9" s="118"/>
      <c r="EBA9" s="118"/>
      <c r="EBG9" s="118"/>
      <c r="EBM9" s="118"/>
      <c r="EBS9" s="118"/>
      <c r="EBY9" s="118"/>
      <c r="ECE9" s="118"/>
      <c r="ECK9" s="118"/>
      <c r="ECQ9" s="118"/>
      <c r="ECW9" s="118"/>
      <c r="EDC9" s="118"/>
      <c r="EDI9" s="118"/>
      <c r="EDO9" s="118"/>
      <c r="EDU9" s="118"/>
      <c r="EEA9" s="118"/>
      <c r="EEG9" s="118"/>
      <c r="EEM9" s="118"/>
      <c r="EES9" s="118"/>
      <c r="EEY9" s="118"/>
      <c r="EFE9" s="118"/>
      <c r="EFK9" s="118"/>
      <c r="EFQ9" s="118"/>
      <c r="EFW9" s="118"/>
      <c r="EGC9" s="118"/>
      <c r="EGI9" s="118"/>
      <c r="EGO9" s="118"/>
      <c r="EGU9" s="118"/>
      <c r="EHA9" s="118"/>
      <c r="EHG9" s="118"/>
      <c r="EHM9" s="118"/>
      <c r="EHS9" s="118"/>
      <c r="EHY9" s="118"/>
      <c r="EIE9" s="118"/>
      <c r="EIK9" s="118"/>
      <c r="EIQ9" s="118"/>
      <c r="EIW9" s="118"/>
      <c r="EJC9" s="118"/>
      <c r="EJI9" s="118"/>
      <c r="EJO9" s="118"/>
      <c r="EJU9" s="118"/>
      <c r="EKA9" s="118"/>
      <c r="EKG9" s="118"/>
      <c r="EKM9" s="118"/>
      <c r="EKS9" s="118"/>
      <c r="EKY9" s="118"/>
      <c r="ELE9" s="118"/>
      <c r="ELK9" s="118"/>
      <c r="ELQ9" s="118"/>
      <c r="ELW9" s="118"/>
      <c r="EMC9" s="118"/>
      <c r="EMI9" s="118"/>
      <c r="EMO9" s="118"/>
      <c r="EMU9" s="118"/>
      <c r="ENA9" s="118"/>
      <c r="ENG9" s="118"/>
      <c r="ENM9" s="118"/>
      <c r="ENS9" s="118"/>
      <c r="ENY9" s="118"/>
      <c r="EOE9" s="118"/>
      <c r="EOK9" s="118"/>
      <c r="EOQ9" s="118"/>
      <c r="EOW9" s="118"/>
      <c r="EPC9" s="118"/>
      <c r="EPI9" s="118"/>
      <c r="EPO9" s="118"/>
      <c r="EPU9" s="118"/>
      <c r="EQA9" s="118"/>
      <c r="EQG9" s="118"/>
      <c r="EQM9" s="118"/>
      <c r="EQS9" s="118"/>
      <c r="EQY9" s="118"/>
      <c r="ERE9" s="118"/>
      <c r="ERK9" s="118"/>
      <c r="ERQ9" s="118"/>
      <c r="ERW9" s="118"/>
      <c r="ESC9" s="118"/>
      <c r="ESI9" s="118"/>
      <c r="ESO9" s="118"/>
      <c r="ESU9" s="118"/>
      <c r="ETA9" s="118"/>
      <c r="ETG9" s="118"/>
      <c r="ETM9" s="118"/>
      <c r="ETS9" s="118"/>
      <c r="ETY9" s="118"/>
      <c r="EUE9" s="118"/>
      <c r="EUK9" s="118"/>
      <c r="EUQ9" s="118"/>
      <c r="EUW9" s="118"/>
      <c r="EVC9" s="118"/>
      <c r="EVI9" s="118"/>
      <c r="EVO9" s="118"/>
      <c r="EVU9" s="118"/>
      <c r="EWA9" s="118"/>
      <c r="EWG9" s="118"/>
      <c r="EWM9" s="118"/>
      <c r="EWS9" s="118"/>
      <c r="EWY9" s="118"/>
      <c r="EXE9" s="118"/>
      <c r="EXK9" s="118"/>
      <c r="EXQ9" s="118"/>
      <c r="EXW9" s="118"/>
      <c r="EYC9" s="118"/>
      <c r="EYI9" s="118"/>
      <c r="EYO9" s="118"/>
      <c r="EYU9" s="118"/>
      <c r="EZA9" s="118"/>
      <c r="EZG9" s="118"/>
      <c r="EZM9" s="118"/>
      <c r="EZS9" s="118"/>
      <c r="EZY9" s="118"/>
      <c r="FAE9" s="118"/>
      <c r="FAK9" s="118"/>
      <c r="FAQ9" s="118"/>
      <c r="FAW9" s="118"/>
      <c r="FBC9" s="118"/>
      <c r="FBI9" s="118"/>
      <c r="FBO9" s="118"/>
      <c r="FBU9" s="118"/>
      <c r="FCA9" s="118"/>
      <c r="FCG9" s="118"/>
      <c r="FCM9" s="118"/>
      <c r="FCS9" s="118"/>
      <c r="FCY9" s="118"/>
      <c r="FDE9" s="118"/>
      <c r="FDK9" s="118"/>
      <c r="FDQ9" s="118"/>
      <c r="FDW9" s="118"/>
      <c r="FEC9" s="118"/>
      <c r="FEI9" s="118"/>
      <c r="FEO9" s="118"/>
      <c r="FEU9" s="118"/>
      <c r="FFA9" s="118"/>
      <c r="FFG9" s="118"/>
      <c r="FFM9" s="118"/>
      <c r="FFS9" s="118"/>
      <c r="FFY9" s="118"/>
      <c r="FGE9" s="118"/>
      <c r="FGK9" s="118"/>
      <c r="FGQ9" s="118"/>
      <c r="FGW9" s="118"/>
      <c r="FHC9" s="118"/>
      <c r="FHI9" s="118"/>
      <c r="FHO9" s="118"/>
      <c r="FHU9" s="118"/>
      <c r="FIA9" s="118"/>
      <c r="FIG9" s="118"/>
      <c r="FIM9" s="118"/>
      <c r="FIS9" s="118"/>
      <c r="FIY9" s="118"/>
      <c r="FJE9" s="118"/>
      <c r="FJK9" s="118"/>
      <c r="FJQ9" s="118"/>
      <c r="FJW9" s="118"/>
      <c r="FKC9" s="118"/>
      <c r="FKI9" s="118"/>
      <c r="FKO9" s="118"/>
      <c r="FKU9" s="118"/>
      <c r="FLA9" s="118"/>
      <c r="FLG9" s="118"/>
      <c r="FLM9" s="118"/>
      <c r="FLS9" s="118"/>
      <c r="FLY9" s="118"/>
      <c r="FME9" s="118"/>
      <c r="FMK9" s="118"/>
      <c r="FMQ9" s="118"/>
      <c r="FMW9" s="118"/>
      <c r="FNC9" s="118"/>
      <c r="FNI9" s="118"/>
      <c r="FNO9" s="118"/>
      <c r="FNU9" s="118"/>
      <c r="FOA9" s="118"/>
      <c r="FOG9" s="118"/>
      <c r="FOM9" s="118"/>
      <c r="FOS9" s="118"/>
      <c r="FOY9" s="118"/>
      <c r="FPE9" s="118"/>
      <c r="FPK9" s="118"/>
      <c r="FPQ9" s="118"/>
      <c r="FPW9" s="118"/>
      <c r="FQC9" s="118"/>
      <c r="FQI9" s="118"/>
      <c r="FQO9" s="118"/>
      <c r="FQU9" s="118"/>
      <c r="FRA9" s="118"/>
      <c r="FRG9" s="118"/>
      <c r="FRM9" s="118"/>
      <c r="FRS9" s="118"/>
      <c r="FRY9" s="118"/>
      <c r="FSE9" s="118"/>
      <c r="FSK9" s="118"/>
      <c r="FSQ9" s="118"/>
      <c r="FSW9" s="118"/>
      <c r="FTC9" s="118"/>
      <c r="FTI9" s="118"/>
      <c r="FTO9" s="118"/>
      <c r="FTU9" s="118"/>
      <c r="FUA9" s="118"/>
      <c r="FUG9" s="118"/>
      <c r="FUM9" s="118"/>
      <c r="FUS9" s="118"/>
      <c r="FUY9" s="118"/>
      <c r="FVE9" s="118"/>
      <c r="FVK9" s="118"/>
      <c r="FVQ9" s="118"/>
      <c r="FVW9" s="118"/>
      <c r="FWC9" s="118"/>
      <c r="FWI9" s="118"/>
      <c r="FWO9" s="118"/>
      <c r="FWU9" s="118"/>
      <c r="FXA9" s="118"/>
      <c r="FXG9" s="118"/>
      <c r="FXM9" s="118"/>
      <c r="FXS9" s="118"/>
      <c r="FXY9" s="118"/>
      <c r="FYE9" s="118"/>
      <c r="FYK9" s="118"/>
      <c r="FYQ9" s="118"/>
      <c r="FYW9" s="118"/>
      <c r="FZC9" s="118"/>
      <c r="FZI9" s="118"/>
      <c r="FZO9" s="118"/>
      <c r="FZU9" s="118"/>
      <c r="GAA9" s="118"/>
      <c r="GAG9" s="118"/>
      <c r="GAM9" s="118"/>
      <c r="GAS9" s="118"/>
      <c r="GAY9" s="118"/>
      <c r="GBE9" s="118"/>
      <c r="GBK9" s="118"/>
      <c r="GBQ9" s="118"/>
      <c r="GBW9" s="118"/>
      <c r="GCC9" s="118"/>
      <c r="GCI9" s="118"/>
      <c r="GCO9" s="118"/>
      <c r="GCU9" s="118"/>
      <c r="GDA9" s="118"/>
      <c r="GDG9" s="118"/>
      <c r="GDM9" s="118"/>
      <c r="GDS9" s="118"/>
      <c r="GDY9" s="118"/>
      <c r="GEE9" s="118"/>
      <c r="GEK9" s="118"/>
      <c r="GEQ9" s="118"/>
      <c r="GEW9" s="118"/>
      <c r="GFC9" s="118"/>
      <c r="GFI9" s="118"/>
      <c r="GFO9" s="118"/>
      <c r="GFU9" s="118"/>
      <c r="GGA9" s="118"/>
      <c r="GGG9" s="118"/>
      <c r="GGM9" s="118"/>
      <c r="GGS9" s="118"/>
      <c r="GGY9" s="118"/>
      <c r="GHE9" s="118"/>
      <c r="GHK9" s="118"/>
      <c r="GHQ9" s="118"/>
      <c r="GHW9" s="118"/>
      <c r="GIC9" s="118"/>
      <c r="GII9" s="118"/>
      <c r="GIO9" s="118"/>
      <c r="GIU9" s="118"/>
      <c r="GJA9" s="118"/>
      <c r="GJG9" s="118"/>
      <c r="GJM9" s="118"/>
      <c r="GJS9" s="118"/>
      <c r="GJY9" s="118"/>
      <c r="GKE9" s="118"/>
      <c r="GKK9" s="118"/>
      <c r="GKQ9" s="118"/>
      <c r="GKW9" s="118"/>
      <c r="GLC9" s="118"/>
      <c r="GLI9" s="118"/>
      <c r="GLO9" s="118"/>
      <c r="GLU9" s="118"/>
      <c r="GMA9" s="118"/>
      <c r="GMG9" s="118"/>
      <c r="GMM9" s="118"/>
      <c r="GMS9" s="118"/>
      <c r="GMY9" s="118"/>
      <c r="GNE9" s="118"/>
      <c r="GNK9" s="118"/>
      <c r="GNQ9" s="118"/>
      <c r="GNW9" s="118"/>
      <c r="GOC9" s="118"/>
      <c r="GOI9" s="118"/>
      <c r="GOO9" s="118"/>
      <c r="GOU9" s="118"/>
      <c r="GPA9" s="118"/>
      <c r="GPG9" s="118"/>
      <c r="GPM9" s="118"/>
      <c r="GPS9" s="118"/>
      <c r="GPY9" s="118"/>
      <c r="GQE9" s="118"/>
      <c r="GQK9" s="118"/>
      <c r="GQQ9" s="118"/>
      <c r="GQW9" s="118"/>
      <c r="GRC9" s="118"/>
      <c r="GRI9" s="118"/>
      <c r="GRO9" s="118"/>
      <c r="GRU9" s="118"/>
      <c r="GSA9" s="118"/>
      <c r="GSG9" s="118"/>
      <c r="GSM9" s="118"/>
      <c r="GSS9" s="118"/>
      <c r="GSY9" s="118"/>
      <c r="GTE9" s="118"/>
      <c r="GTK9" s="118"/>
      <c r="GTQ9" s="118"/>
      <c r="GTW9" s="118"/>
      <c r="GUC9" s="118"/>
      <c r="GUI9" s="118"/>
      <c r="GUO9" s="118"/>
      <c r="GUU9" s="118"/>
      <c r="GVA9" s="118"/>
      <c r="GVG9" s="118"/>
      <c r="GVM9" s="118"/>
      <c r="GVS9" s="118"/>
      <c r="GVY9" s="118"/>
      <c r="GWE9" s="118"/>
      <c r="GWK9" s="118"/>
      <c r="GWQ9" s="118"/>
      <c r="GWW9" s="118"/>
      <c r="GXC9" s="118"/>
      <c r="GXI9" s="118"/>
      <c r="GXO9" s="118"/>
      <c r="GXU9" s="118"/>
      <c r="GYA9" s="118"/>
      <c r="GYG9" s="118"/>
      <c r="GYM9" s="118"/>
      <c r="GYS9" s="118"/>
      <c r="GYY9" s="118"/>
      <c r="GZE9" s="118"/>
      <c r="GZK9" s="118"/>
      <c r="GZQ9" s="118"/>
      <c r="GZW9" s="118"/>
      <c r="HAC9" s="118"/>
      <c r="HAI9" s="118"/>
      <c r="HAO9" s="118"/>
      <c r="HAU9" s="118"/>
      <c r="HBA9" s="118"/>
      <c r="HBG9" s="118"/>
      <c r="HBM9" s="118"/>
      <c r="HBS9" s="118"/>
      <c r="HBY9" s="118"/>
      <c r="HCE9" s="118"/>
      <c r="HCK9" s="118"/>
      <c r="HCQ9" s="118"/>
      <c r="HCW9" s="118"/>
      <c r="HDC9" s="118"/>
      <c r="HDI9" s="118"/>
      <c r="HDO9" s="118"/>
      <c r="HDU9" s="118"/>
      <c r="HEA9" s="118"/>
      <c r="HEG9" s="118"/>
      <c r="HEM9" s="118"/>
      <c r="HES9" s="118"/>
      <c r="HEY9" s="118"/>
      <c r="HFE9" s="118"/>
      <c r="HFK9" s="118"/>
      <c r="HFQ9" s="118"/>
      <c r="HFW9" s="118"/>
      <c r="HGC9" s="118"/>
      <c r="HGI9" s="118"/>
      <c r="HGO9" s="118"/>
      <c r="HGU9" s="118"/>
      <c r="HHA9" s="118"/>
      <c r="HHG9" s="118"/>
      <c r="HHM9" s="118"/>
      <c r="HHS9" s="118"/>
      <c r="HHY9" s="118"/>
      <c r="HIE9" s="118"/>
      <c r="HIK9" s="118"/>
      <c r="HIQ9" s="118"/>
      <c r="HIW9" s="118"/>
      <c r="HJC9" s="118"/>
      <c r="HJI9" s="118"/>
      <c r="HJO9" s="118"/>
      <c r="HJU9" s="118"/>
      <c r="HKA9" s="118"/>
      <c r="HKG9" s="118"/>
      <c r="HKM9" s="118"/>
      <c r="HKS9" s="118"/>
      <c r="HKY9" s="118"/>
      <c r="HLE9" s="118"/>
      <c r="HLK9" s="118"/>
      <c r="HLQ9" s="118"/>
      <c r="HLW9" s="118"/>
      <c r="HMC9" s="118"/>
      <c r="HMI9" s="118"/>
      <c r="HMO9" s="118"/>
      <c r="HMU9" s="118"/>
      <c r="HNA9" s="118"/>
      <c r="HNG9" s="118"/>
      <c r="HNM9" s="118"/>
      <c r="HNS9" s="118"/>
      <c r="HNY9" s="118"/>
      <c r="HOE9" s="118"/>
      <c r="HOK9" s="118"/>
      <c r="HOQ9" s="118"/>
      <c r="HOW9" s="118"/>
      <c r="HPC9" s="118"/>
      <c r="HPI9" s="118"/>
      <c r="HPO9" s="118"/>
      <c r="HPU9" s="118"/>
      <c r="HQA9" s="118"/>
      <c r="HQG9" s="118"/>
      <c r="HQM9" s="118"/>
      <c r="HQS9" s="118"/>
      <c r="HQY9" s="118"/>
      <c r="HRE9" s="118"/>
      <c r="HRK9" s="118"/>
      <c r="HRQ9" s="118"/>
      <c r="HRW9" s="118"/>
      <c r="HSC9" s="118"/>
      <c r="HSI9" s="118"/>
      <c r="HSO9" s="118"/>
      <c r="HSU9" s="118"/>
      <c r="HTA9" s="118"/>
      <c r="HTG9" s="118"/>
      <c r="HTM9" s="118"/>
      <c r="HTS9" s="118"/>
      <c r="HTY9" s="118"/>
      <c r="HUE9" s="118"/>
      <c r="HUK9" s="118"/>
      <c r="HUQ9" s="118"/>
      <c r="HUW9" s="118"/>
      <c r="HVC9" s="118"/>
      <c r="HVI9" s="118"/>
      <c r="HVO9" s="118"/>
      <c r="HVU9" s="118"/>
      <c r="HWA9" s="118"/>
      <c r="HWG9" s="118"/>
      <c r="HWM9" s="118"/>
      <c r="HWS9" s="118"/>
      <c r="HWY9" s="118"/>
      <c r="HXE9" s="118"/>
      <c r="HXK9" s="118"/>
      <c r="HXQ9" s="118"/>
      <c r="HXW9" s="118"/>
      <c r="HYC9" s="118"/>
      <c r="HYI9" s="118"/>
      <c r="HYO9" s="118"/>
      <c r="HYU9" s="118"/>
      <c r="HZA9" s="118"/>
      <c r="HZG9" s="118"/>
      <c r="HZM9" s="118"/>
      <c r="HZS9" s="118"/>
      <c r="HZY9" s="118"/>
      <c r="IAE9" s="118"/>
      <c r="IAK9" s="118"/>
      <c r="IAQ9" s="118"/>
      <c r="IAW9" s="118"/>
      <c r="IBC9" s="118"/>
      <c r="IBI9" s="118"/>
      <c r="IBO9" s="118"/>
      <c r="IBU9" s="118"/>
      <c r="ICA9" s="118"/>
      <c r="ICG9" s="118"/>
      <c r="ICM9" s="118"/>
      <c r="ICS9" s="118"/>
      <c r="ICY9" s="118"/>
      <c r="IDE9" s="118"/>
      <c r="IDK9" s="118"/>
      <c r="IDQ9" s="118"/>
      <c r="IDW9" s="118"/>
      <c r="IEC9" s="118"/>
      <c r="IEI9" s="118"/>
      <c r="IEO9" s="118"/>
      <c r="IEU9" s="118"/>
      <c r="IFA9" s="118"/>
      <c r="IFG9" s="118"/>
      <c r="IFM9" s="118"/>
      <c r="IFS9" s="118"/>
      <c r="IFY9" s="118"/>
      <c r="IGE9" s="118"/>
      <c r="IGK9" s="118"/>
      <c r="IGQ9" s="118"/>
      <c r="IGW9" s="118"/>
      <c r="IHC9" s="118"/>
      <c r="IHI9" s="118"/>
      <c r="IHO9" s="118"/>
      <c r="IHU9" s="118"/>
      <c r="IIA9" s="118"/>
      <c r="IIG9" s="118"/>
      <c r="IIM9" s="118"/>
      <c r="IIS9" s="118"/>
      <c r="IIY9" s="118"/>
      <c r="IJE9" s="118"/>
      <c r="IJK9" s="118"/>
      <c r="IJQ9" s="118"/>
      <c r="IJW9" s="118"/>
      <c r="IKC9" s="118"/>
      <c r="IKI9" s="118"/>
      <c r="IKO9" s="118"/>
      <c r="IKU9" s="118"/>
      <c r="ILA9" s="118"/>
      <c r="ILG9" s="118"/>
      <c r="ILM9" s="118"/>
      <c r="ILS9" s="118"/>
      <c r="ILY9" s="118"/>
      <c r="IME9" s="118"/>
      <c r="IMK9" s="118"/>
      <c r="IMQ9" s="118"/>
      <c r="IMW9" s="118"/>
      <c r="INC9" s="118"/>
      <c r="INI9" s="118"/>
      <c r="INO9" s="118"/>
      <c r="INU9" s="118"/>
      <c r="IOA9" s="118"/>
      <c r="IOG9" s="118"/>
      <c r="IOM9" s="118"/>
      <c r="IOS9" s="118"/>
      <c r="IOY9" s="118"/>
      <c r="IPE9" s="118"/>
      <c r="IPK9" s="118"/>
      <c r="IPQ9" s="118"/>
      <c r="IPW9" s="118"/>
      <c r="IQC9" s="118"/>
      <c r="IQI9" s="118"/>
      <c r="IQO9" s="118"/>
      <c r="IQU9" s="118"/>
      <c r="IRA9" s="118"/>
      <c r="IRG9" s="118"/>
      <c r="IRM9" s="118"/>
      <c r="IRS9" s="118"/>
      <c r="IRY9" s="118"/>
      <c r="ISE9" s="118"/>
      <c r="ISK9" s="118"/>
      <c r="ISQ9" s="118"/>
      <c r="ISW9" s="118"/>
      <c r="ITC9" s="118"/>
      <c r="ITI9" s="118"/>
      <c r="ITO9" s="118"/>
      <c r="ITU9" s="118"/>
      <c r="IUA9" s="118"/>
      <c r="IUG9" s="118"/>
      <c r="IUM9" s="118"/>
      <c r="IUS9" s="118"/>
      <c r="IUY9" s="118"/>
      <c r="IVE9" s="118"/>
      <c r="IVK9" s="118"/>
      <c r="IVQ9" s="118"/>
      <c r="IVW9" s="118"/>
      <c r="IWC9" s="118"/>
      <c r="IWI9" s="118"/>
      <c r="IWO9" s="118"/>
      <c r="IWU9" s="118"/>
      <c r="IXA9" s="118"/>
      <c r="IXG9" s="118"/>
      <c r="IXM9" s="118"/>
      <c r="IXS9" s="118"/>
      <c r="IXY9" s="118"/>
      <c r="IYE9" s="118"/>
      <c r="IYK9" s="118"/>
      <c r="IYQ9" s="118"/>
      <c r="IYW9" s="118"/>
      <c r="IZC9" s="118"/>
      <c r="IZI9" s="118"/>
      <c r="IZO9" s="118"/>
      <c r="IZU9" s="118"/>
      <c r="JAA9" s="118"/>
      <c r="JAG9" s="118"/>
      <c r="JAM9" s="118"/>
      <c r="JAS9" s="118"/>
      <c r="JAY9" s="118"/>
      <c r="JBE9" s="118"/>
      <c r="JBK9" s="118"/>
      <c r="JBQ9" s="118"/>
      <c r="JBW9" s="118"/>
      <c r="JCC9" s="118"/>
      <c r="JCI9" s="118"/>
      <c r="JCO9" s="118"/>
      <c r="JCU9" s="118"/>
      <c r="JDA9" s="118"/>
      <c r="JDG9" s="118"/>
      <c r="JDM9" s="118"/>
      <c r="JDS9" s="118"/>
      <c r="JDY9" s="118"/>
      <c r="JEE9" s="118"/>
      <c r="JEK9" s="118"/>
      <c r="JEQ9" s="118"/>
      <c r="JEW9" s="118"/>
      <c r="JFC9" s="118"/>
      <c r="JFI9" s="118"/>
      <c r="JFO9" s="118"/>
      <c r="JFU9" s="118"/>
      <c r="JGA9" s="118"/>
      <c r="JGG9" s="118"/>
      <c r="JGM9" s="118"/>
      <c r="JGS9" s="118"/>
      <c r="JGY9" s="118"/>
      <c r="JHE9" s="118"/>
      <c r="JHK9" s="118"/>
      <c r="JHQ9" s="118"/>
      <c r="JHW9" s="118"/>
      <c r="JIC9" s="118"/>
      <c r="JII9" s="118"/>
      <c r="JIO9" s="118"/>
      <c r="JIU9" s="118"/>
      <c r="JJA9" s="118"/>
      <c r="JJG9" s="118"/>
      <c r="JJM9" s="118"/>
      <c r="JJS9" s="118"/>
      <c r="JJY9" s="118"/>
      <c r="JKE9" s="118"/>
      <c r="JKK9" s="118"/>
      <c r="JKQ9" s="118"/>
      <c r="JKW9" s="118"/>
      <c r="JLC9" s="118"/>
      <c r="JLI9" s="118"/>
      <c r="JLO9" s="118"/>
      <c r="JLU9" s="118"/>
      <c r="JMA9" s="118"/>
      <c r="JMG9" s="118"/>
      <c r="JMM9" s="118"/>
      <c r="JMS9" s="118"/>
      <c r="JMY9" s="118"/>
      <c r="JNE9" s="118"/>
      <c r="JNK9" s="118"/>
      <c r="JNQ9" s="118"/>
      <c r="JNW9" s="118"/>
      <c r="JOC9" s="118"/>
      <c r="JOI9" s="118"/>
      <c r="JOO9" s="118"/>
      <c r="JOU9" s="118"/>
      <c r="JPA9" s="118"/>
      <c r="JPG9" s="118"/>
      <c r="JPM9" s="118"/>
      <c r="JPS9" s="118"/>
      <c r="JPY9" s="118"/>
      <c r="JQE9" s="118"/>
      <c r="JQK9" s="118"/>
      <c r="JQQ9" s="118"/>
      <c r="JQW9" s="118"/>
      <c r="JRC9" s="118"/>
      <c r="JRI9" s="118"/>
      <c r="JRO9" s="118"/>
      <c r="JRU9" s="118"/>
      <c r="JSA9" s="118"/>
      <c r="JSG9" s="118"/>
      <c r="JSM9" s="118"/>
      <c r="JSS9" s="118"/>
      <c r="JSY9" s="118"/>
      <c r="JTE9" s="118"/>
      <c r="JTK9" s="118"/>
      <c r="JTQ9" s="118"/>
      <c r="JTW9" s="118"/>
      <c r="JUC9" s="118"/>
      <c r="JUI9" s="118"/>
      <c r="JUO9" s="118"/>
      <c r="JUU9" s="118"/>
      <c r="JVA9" s="118"/>
      <c r="JVG9" s="118"/>
      <c r="JVM9" s="118"/>
      <c r="JVS9" s="118"/>
      <c r="JVY9" s="118"/>
      <c r="JWE9" s="118"/>
      <c r="JWK9" s="118"/>
      <c r="JWQ9" s="118"/>
      <c r="JWW9" s="118"/>
      <c r="JXC9" s="118"/>
      <c r="JXI9" s="118"/>
      <c r="JXO9" s="118"/>
      <c r="JXU9" s="118"/>
      <c r="JYA9" s="118"/>
      <c r="JYG9" s="118"/>
      <c r="JYM9" s="118"/>
      <c r="JYS9" s="118"/>
      <c r="JYY9" s="118"/>
      <c r="JZE9" s="118"/>
      <c r="JZK9" s="118"/>
      <c r="JZQ9" s="118"/>
      <c r="JZW9" s="118"/>
      <c r="KAC9" s="118"/>
      <c r="KAI9" s="118"/>
      <c r="KAO9" s="118"/>
      <c r="KAU9" s="118"/>
      <c r="KBA9" s="118"/>
      <c r="KBG9" s="118"/>
      <c r="KBM9" s="118"/>
      <c r="KBS9" s="118"/>
      <c r="KBY9" s="118"/>
      <c r="KCE9" s="118"/>
      <c r="KCK9" s="118"/>
      <c r="KCQ9" s="118"/>
      <c r="KCW9" s="118"/>
      <c r="KDC9" s="118"/>
      <c r="KDI9" s="118"/>
      <c r="KDO9" s="118"/>
      <c r="KDU9" s="118"/>
      <c r="KEA9" s="118"/>
      <c r="KEG9" s="118"/>
      <c r="KEM9" s="118"/>
      <c r="KES9" s="118"/>
      <c r="KEY9" s="118"/>
      <c r="KFE9" s="118"/>
      <c r="KFK9" s="118"/>
      <c r="KFQ9" s="118"/>
      <c r="KFW9" s="118"/>
      <c r="KGC9" s="118"/>
      <c r="KGI9" s="118"/>
      <c r="KGO9" s="118"/>
      <c r="KGU9" s="118"/>
      <c r="KHA9" s="118"/>
      <c r="KHG9" s="118"/>
      <c r="KHM9" s="118"/>
      <c r="KHS9" s="118"/>
      <c r="KHY9" s="118"/>
      <c r="KIE9" s="118"/>
      <c r="KIK9" s="118"/>
      <c r="KIQ9" s="118"/>
      <c r="KIW9" s="118"/>
      <c r="KJC9" s="118"/>
      <c r="KJI9" s="118"/>
      <c r="KJO9" s="118"/>
      <c r="KJU9" s="118"/>
      <c r="KKA9" s="118"/>
      <c r="KKG9" s="118"/>
      <c r="KKM9" s="118"/>
      <c r="KKS9" s="118"/>
      <c r="KKY9" s="118"/>
      <c r="KLE9" s="118"/>
      <c r="KLK9" s="118"/>
      <c r="KLQ9" s="118"/>
      <c r="KLW9" s="118"/>
      <c r="KMC9" s="118"/>
      <c r="KMI9" s="118"/>
      <c r="KMO9" s="118"/>
      <c r="KMU9" s="118"/>
      <c r="KNA9" s="118"/>
      <c r="KNG9" s="118"/>
      <c r="KNM9" s="118"/>
      <c r="KNS9" s="118"/>
      <c r="KNY9" s="118"/>
      <c r="KOE9" s="118"/>
      <c r="KOK9" s="118"/>
      <c r="KOQ9" s="118"/>
      <c r="KOW9" s="118"/>
      <c r="KPC9" s="118"/>
      <c r="KPI9" s="118"/>
      <c r="KPO9" s="118"/>
      <c r="KPU9" s="118"/>
      <c r="KQA9" s="118"/>
      <c r="KQG9" s="118"/>
      <c r="KQM9" s="118"/>
      <c r="KQS9" s="118"/>
      <c r="KQY9" s="118"/>
      <c r="KRE9" s="118"/>
      <c r="KRK9" s="118"/>
      <c r="KRQ9" s="118"/>
      <c r="KRW9" s="118"/>
      <c r="KSC9" s="118"/>
      <c r="KSI9" s="118"/>
      <c r="KSO9" s="118"/>
      <c r="KSU9" s="118"/>
      <c r="KTA9" s="118"/>
      <c r="KTG9" s="118"/>
      <c r="KTM9" s="118"/>
      <c r="KTS9" s="118"/>
      <c r="KTY9" s="118"/>
      <c r="KUE9" s="118"/>
      <c r="KUK9" s="118"/>
      <c r="KUQ9" s="118"/>
      <c r="KUW9" s="118"/>
      <c r="KVC9" s="118"/>
      <c r="KVI9" s="118"/>
      <c r="KVO9" s="118"/>
      <c r="KVU9" s="118"/>
      <c r="KWA9" s="118"/>
      <c r="KWG9" s="118"/>
      <c r="KWM9" s="118"/>
      <c r="KWS9" s="118"/>
      <c r="KWY9" s="118"/>
      <c r="KXE9" s="118"/>
      <c r="KXK9" s="118"/>
      <c r="KXQ9" s="118"/>
      <c r="KXW9" s="118"/>
      <c r="KYC9" s="118"/>
      <c r="KYI9" s="118"/>
      <c r="KYO9" s="118"/>
      <c r="KYU9" s="118"/>
      <c r="KZA9" s="118"/>
      <c r="KZG9" s="118"/>
      <c r="KZM9" s="118"/>
      <c r="KZS9" s="118"/>
      <c r="KZY9" s="118"/>
      <c r="LAE9" s="118"/>
      <c r="LAK9" s="118"/>
      <c r="LAQ9" s="118"/>
      <c r="LAW9" s="118"/>
      <c r="LBC9" s="118"/>
      <c r="LBI9" s="118"/>
      <c r="LBO9" s="118"/>
      <c r="LBU9" s="118"/>
      <c r="LCA9" s="118"/>
      <c r="LCG9" s="118"/>
      <c r="LCM9" s="118"/>
      <c r="LCS9" s="118"/>
      <c r="LCY9" s="118"/>
      <c r="LDE9" s="118"/>
      <c r="LDK9" s="118"/>
      <c r="LDQ9" s="118"/>
      <c r="LDW9" s="118"/>
      <c r="LEC9" s="118"/>
      <c r="LEI9" s="118"/>
      <c r="LEO9" s="118"/>
      <c r="LEU9" s="118"/>
      <c r="LFA9" s="118"/>
      <c r="LFG9" s="118"/>
      <c r="LFM9" s="118"/>
      <c r="LFS9" s="118"/>
      <c r="LFY9" s="118"/>
      <c r="LGE9" s="118"/>
      <c r="LGK9" s="118"/>
      <c r="LGQ9" s="118"/>
      <c r="LGW9" s="118"/>
      <c r="LHC9" s="118"/>
      <c r="LHI9" s="118"/>
      <c r="LHO9" s="118"/>
      <c r="LHU9" s="118"/>
      <c r="LIA9" s="118"/>
      <c r="LIG9" s="118"/>
      <c r="LIM9" s="118"/>
      <c r="LIS9" s="118"/>
      <c r="LIY9" s="118"/>
      <c r="LJE9" s="118"/>
      <c r="LJK9" s="118"/>
      <c r="LJQ9" s="118"/>
      <c r="LJW9" s="118"/>
      <c r="LKC9" s="118"/>
      <c r="LKI9" s="118"/>
      <c r="LKO9" s="118"/>
      <c r="LKU9" s="118"/>
      <c r="LLA9" s="118"/>
      <c r="LLG9" s="118"/>
      <c r="LLM9" s="118"/>
      <c r="LLS9" s="118"/>
      <c r="LLY9" s="118"/>
      <c r="LME9" s="118"/>
      <c r="LMK9" s="118"/>
      <c r="LMQ9" s="118"/>
      <c r="LMW9" s="118"/>
      <c r="LNC9" s="118"/>
      <c r="LNI9" s="118"/>
      <c r="LNO9" s="118"/>
      <c r="LNU9" s="118"/>
      <c r="LOA9" s="118"/>
      <c r="LOG9" s="118"/>
      <c r="LOM9" s="118"/>
      <c r="LOS9" s="118"/>
      <c r="LOY9" s="118"/>
      <c r="LPE9" s="118"/>
      <c r="LPK9" s="118"/>
      <c r="LPQ9" s="118"/>
      <c r="LPW9" s="118"/>
      <c r="LQC9" s="118"/>
      <c r="LQI9" s="118"/>
      <c r="LQO9" s="118"/>
      <c r="LQU9" s="118"/>
      <c r="LRA9" s="118"/>
      <c r="LRG9" s="118"/>
      <c r="LRM9" s="118"/>
      <c r="LRS9" s="118"/>
      <c r="LRY9" s="118"/>
      <c r="LSE9" s="118"/>
      <c r="LSK9" s="118"/>
      <c r="LSQ9" s="118"/>
      <c r="LSW9" s="118"/>
      <c r="LTC9" s="118"/>
      <c r="LTI9" s="118"/>
      <c r="LTO9" s="118"/>
      <c r="LTU9" s="118"/>
      <c r="LUA9" s="118"/>
      <c r="LUG9" s="118"/>
      <c r="LUM9" s="118"/>
      <c r="LUS9" s="118"/>
      <c r="LUY9" s="118"/>
      <c r="LVE9" s="118"/>
      <c r="LVK9" s="118"/>
      <c r="LVQ9" s="118"/>
      <c r="LVW9" s="118"/>
      <c r="LWC9" s="118"/>
      <c r="LWI9" s="118"/>
      <c r="LWO9" s="118"/>
      <c r="LWU9" s="118"/>
      <c r="LXA9" s="118"/>
      <c r="LXG9" s="118"/>
      <c r="LXM9" s="118"/>
      <c r="LXS9" s="118"/>
      <c r="LXY9" s="118"/>
      <c r="LYE9" s="118"/>
      <c r="LYK9" s="118"/>
      <c r="LYQ9" s="118"/>
      <c r="LYW9" s="118"/>
      <c r="LZC9" s="118"/>
      <c r="LZI9" s="118"/>
      <c r="LZO9" s="118"/>
      <c r="LZU9" s="118"/>
      <c r="MAA9" s="118"/>
      <c r="MAG9" s="118"/>
      <c r="MAM9" s="118"/>
      <c r="MAS9" s="118"/>
      <c r="MAY9" s="118"/>
      <c r="MBE9" s="118"/>
      <c r="MBK9" s="118"/>
      <c r="MBQ9" s="118"/>
      <c r="MBW9" s="118"/>
      <c r="MCC9" s="118"/>
      <c r="MCI9" s="118"/>
      <c r="MCO9" s="118"/>
      <c r="MCU9" s="118"/>
      <c r="MDA9" s="118"/>
      <c r="MDG9" s="118"/>
      <c r="MDM9" s="118"/>
      <c r="MDS9" s="118"/>
      <c r="MDY9" s="118"/>
      <c r="MEE9" s="118"/>
      <c r="MEK9" s="118"/>
      <c r="MEQ9" s="118"/>
      <c r="MEW9" s="118"/>
      <c r="MFC9" s="118"/>
      <c r="MFI9" s="118"/>
      <c r="MFO9" s="118"/>
      <c r="MFU9" s="118"/>
      <c r="MGA9" s="118"/>
      <c r="MGG9" s="118"/>
      <c r="MGM9" s="118"/>
      <c r="MGS9" s="118"/>
      <c r="MGY9" s="118"/>
      <c r="MHE9" s="118"/>
      <c r="MHK9" s="118"/>
      <c r="MHQ9" s="118"/>
      <c r="MHW9" s="118"/>
      <c r="MIC9" s="118"/>
      <c r="MII9" s="118"/>
      <c r="MIO9" s="118"/>
      <c r="MIU9" s="118"/>
      <c r="MJA9" s="118"/>
      <c r="MJG9" s="118"/>
      <c r="MJM9" s="118"/>
      <c r="MJS9" s="118"/>
      <c r="MJY9" s="118"/>
      <c r="MKE9" s="118"/>
      <c r="MKK9" s="118"/>
      <c r="MKQ9" s="118"/>
      <c r="MKW9" s="118"/>
      <c r="MLC9" s="118"/>
      <c r="MLI9" s="118"/>
      <c r="MLO9" s="118"/>
      <c r="MLU9" s="118"/>
      <c r="MMA9" s="118"/>
      <c r="MMG9" s="118"/>
      <c r="MMM9" s="118"/>
      <c r="MMS9" s="118"/>
      <c r="MMY9" s="118"/>
      <c r="MNE9" s="118"/>
      <c r="MNK9" s="118"/>
      <c r="MNQ9" s="118"/>
      <c r="MNW9" s="118"/>
      <c r="MOC9" s="118"/>
      <c r="MOI9" s="118"/>
      <c r="MOO9" s="118"/>
      <c r="MOU9" s="118"/>
      <c r="MPA9" s="118"/>
      <c r="MPG9" s="118"/>
      <c r="MPM9" s="118"/>
      <c r="MPS9" s="118"/>
      <c r="MPY9" s="118"/>
      <c r="MQE9" s="118"/>
      <c r="MQK9" s="118"/>
      <c r="MQQ9" s="118"/>
      <c r="MQW9" s="118"/>
      <c r="MRC9" s="118"/>
      <c r="MRI9" s="118"/>
      <c r="MRO9" s="118"/>
      <c r="MRU9" s="118"/>
      <c r="MSA9" s="118"/>
      <c r="MSG9" s="118"/>
      <c r="MSM9" s="118"/>
      <c r="MSS9" s="118"/>
      <c r="MSY9" s="118"/>
      <c r="MTE9" s="118"/>
      <c r="MTK9" s="118"/>
      <c r="MTQ9" s="118"/>
      <c r="MTW9" s="118"/>
      <c r="MUC9" s="118"/>
      <c r="MUI9" s="118"/>
      <c r="MUO9" s="118"/>
      <c r="MUU9" s="118"/>
      <c r="MVA9" s="118"/>
      <c r="MVG9" s="118"/>
      <c r="MVM9" s="118"/>
      <c r="MVS9" s="118"/>
      <c r="MVY9" s="118"/>
      <c r="MWE9" s="118"/>
      <c r="MWK9" s="118"/>
      <c r="MWQ9" s="118"/>
      <c r="MWW9" s="118"/>
      <c r="MXC9" s="118"/>
      <c r="MXI9" s="118"/>
      <c r="MXO9" s="118"/>
      <c r="MXU9" s="118"/>
      <c r="MYA9" s="118"/>
      <c r="MYG9" s="118"/>
      <c r="MYM9" s="118"/>
      <c r="MYS9" s="118"/>
      <c r="MYY9" s="118"/>
      <c r="MZE9" s="118"/>
      <c r="MZK9" s="118"/>
      <c r="MZQ9" s="118"/>
      <c r="MZW9" s="118"/>
      <c r="NAC9" s="118"/>
      <c r="NAI9" s="118"/>
      <c r="NAO9" s="118"/>
      <c r="NAU9" s="118"/>
      <c r="NBA9" s="118"/>
      <c r="NBG9" s="118"/>
      <c r="NBM9" s="118"/>
      <c r="NBS9" s="118"/>
      <c r="NBY9" s="118"/>
      <c r="NCE9" s="118"/>
      <c r="NCK9" s="118"/>
      <c r="NCQ9" s="118"/>
      <c r="NCW9" s="118"/>
      <c r="NDC9" s="118"/>
      <c r="NDI9" s="118"/>
      <c r="NDO9" s="118"/>
      <c r="NDU9" s="118"/>
      <c r="NEA9" s="118"/>
      <c r="NEG9" s="118"/>
      <c r="NEM9" s="118"/>
      <c r="NES9" s="118"/>
      <c r="NEY9" s="118"/>
      <c r="NFE9" s="118"/>
      <c r="NFK9" s="118"/>
      <c r="NFQ9" s="118"/>
      <c r="NFW9" s="118"/>
      <c r="NGC9" s="118"/>
      <c r="NGI9" s="118"/>
      <c r="NGO9" s="118"/>
      <c r="NGU9" s="118"/>
      <c r="NHA9" s="118"/>
      <c r="NHG9" s="118"/>
      <c r="NHM9" s="118"/>
      <c r="NHS9" s="118"/>
      <c r="NHY9" s="118"/>
      <c r="NIE9" s="118"/>
      <c r="NIK9" s="118"/>
      <c r="NIQ9" s="118"/>
      <c r="NIW9" s="118"/>
      <c r="NJC9" s="118"/>
      <c r="NJI9" s="118"/>
      <c r="NJO9" s="118"/>
      <c r="NJU9" s="118"/>
      <c r="NKA9" s="118"/>
      <c r="NKG9" s="118"/>
      <c r="NKM9" s="118"/>
      <c r="NKS9" s="118"/>
      <c r="NKY9" s="118"/>
      <c r="NLE9" s="118"/>
      <c r="NLK9" s="118"/>
      <c r="NLQ9" s="118"/>
      <c r="NLW9" s="118"/>
      <c r="NMC9" s="118"/>
      <c r="NMI9" s="118"/>
      <c r="NMO9" s="118"/>
      <c r="NMU9" s="118"/>
      <c r="NNA9" s="118"/>
      <c r="NNG9" s="118"/>
      <c r="NNM9" s="118"/>
      <c r="NNS9" s="118"/>
      <c r="NNY9" s="118"/>
      <c r="NOE9" s="118"/>
      <c r="NOK9" s="118"/>
      <c r="NOQ9" s="118"/>
      <c r="NOW9" s="118"/>
      <c r="NPC9" s="118"/>
      <c r="NPI9" s="118"/>
      <c r="NPO9" s="118"/>
      <c r="NPU9" s="118"/>
      <c r="NQA9" s="118"/>
      <c r="NQG9" s="118"/>
      <c r="NQM9" s="118"/>
      <c r="NQS9" s="118"/>
      <c r="NQY9" s="118"/>
      <c r="NRE9" s="118"/>
      <c r="NRK9" s="118"/>
      <c r="NRQ9" s="118"/>
      <c r="NRW9" s="118"/>
      <c r="NSC9" s="118"/>
      <c r="NSI9" s="118"/>
      <c r="NSO9" s="118"/>
      <c r="NSU9" s="118"/>
      <c r="NTA9" s="118"/>
      <c r="NTG9" s="118"/>
      <c r="NTM9" s="118"/>
      <c r="NTS9" s="118"/>
      <c r="NTY9" s="118"/>
      <c r="NUE9" s="118"/>
      <c r="NUK9" s="118"/>
      <c r="NUQ9" s="118"/>
      <c r="NUW9" s="118"/>
      <c r="NVC9" s="118"/>
      <c r="NVI9" s="118"/>
      <c r="NVO9" s="118"/>
      <c r="NVU9" s="118"/>
      <c r="NWA9" s="118"/>
      <c r="NWG9" s="118"/>
      <c r="NWM9" s="118"/>
      <c r="NWS9" s="118"/>
      <c r="NWY9" s="118"/>
      <c r="NXE9" s="118"/>
      <c r="NXK9" s="118"/>
      <c r="NXQ9" s="118"/>
      <c r="NXW9" s="118"/>
      <c r="NYC9" s="118"/>
      <c r="NYI9" s="118"/>
      <c r="NYO9" s="118"/>
      <c r="NYU9" s="118"/>
      <c r="NZA9" s="118"/>
      <c r="NZG9" s="118"/>
      <c r="NZM9" s="118"/>
      <c r="NZS9" s="118"/>
      <c r="NZY9" s="118"/>
      <c r="OAE9" s="118"/>
      <c r="OAK9" s="118"/>
      <c r="OAQ9" s="118"/>
      <c r="OAW9" s="118"/>
      <c r="OBC9" s="118"/>
      <c r="OBI9" s="118"/>
      <c r="OBO9" s="118"/>
      <c r="OBU9" s="118"/>
      <c r="OCA9" s="118"/>
      <c r="OCG9" s="118"/>
      <c r="OCM9" s="118"/>
      <c r="OCS9" s="118"/>
      <c r="OCY9" s="118"/>
      <c r="ODE9" s="118"/>
      <c r="ODK9" s="118"/>
      <c r="ODQ9" s="118"/>
      <c r="ODW9" s="118"/>
      <c r="OEC9" s="118"/>
      <c r="OEI9" s="118"/>
      <c r="OEO9" s="118"/>
      <c r="OEU9" s="118"/>
      <c r="OFA9" s="118"/>
      <c r="OFG9" s="118"/>
      <c r="OFM9" s="118"/>
      <c r="OFS9" s="118"/>
      <c r="OFY9" s="118"/>
      <c r="OGE9" s="118"/>
      <c r="OGK9" s="118"/>
      <c r="OGQ9" s="118"/>
      <c r="OGW9" s="118"/>
      <c r="OHC9" s="118"/>
      <c r="OHI9" s="118"/>
      <c r="OHO9" s="118"/>
      <c r="OHU9" s="118"/>
      <c r="OIA9" s="118"/>
      <c r="OIG9" s="118"/>
      <c r="OIM9" s="118"/>
      <c r="OIS9" s="118"/>
      <c r="OIY9" s="118"/>
      <c r="OJE9" s="118"/>
      <c r="OJK9" s="118"/>
      <c r="OJQ9" s="118"/>
      <c r="OJW9" s="118"/>
      <c r="OKC9" s="118"/>
      <c r="OKI9" s="118"/>
      <c r="OKO9" s="118"/>
      <c r="OKU9" s="118"/>
      <c r="OLA9" s="118"/>
      <c r="OLG9" s="118"/>
      <c r="OLM9" s="118"/>
      <c r="OLS9" s="118"/>
      <c r="OLY9" s="118"/>
      <c r="OME9" s="118"/>
      <c r="OMK9" s="118"/>
      <c r="OMQ9" s="118"/>
      <c r="OMW9" s="118"/>
      <c r="ONC9" s="118"/>
      <c r="ONI9" s="118"/>
      <c r="ONO9" s="118"/>
      <c r="ONU9" s="118"/>
      <c r="OOA9" s="118"/>
      <c r="OOG9" s="118"/>
      <c r="OOM9" s="118"/>
      <c r="OOS9" s="118"/>
      <c r="OOY9" s="118"/>
      <c r="OPE9" s="118"/>
      <c r="OPK9" s="118"/>
      <c r="OPQ9" s="118"/>
      <c r="OPW9" s="118"/>
      <c r="OQC9" s="118"/>
      <c r="OQI9" s="118"/>
      <c r="OQO9" s="118"/>
      <c r="OQU9" s="118"/>
      <c r="ORA9" s="118"/>
      <c r="ORG9" s="118"/>
      <c r="ORM9" s="118"/>
      <c r="ORS9" s="118"/>
      <c r="ORY9" s="118"/>
      <c r="OSE9" s="118"/>
      <c r="OSK9" s="118"/>
      <c r="OSQ9" s="118"/>
      <c r="OSW9" s="118"/>
      <c r="OTC9" s="118"/>
      <c r="OTI9" s="118"/>
      <c r="OTO9" s="118"/>
      <c r="OTU9" s="118"/>
      <c r="OUA9" s="118"/>
      <c r="OUG9" s="118"/>
      <c r="OUM9" s="118"/>
      <c r="OUS9" s="118"/>
      <c r="OUY9" s="118"/>
      <c r="OVE9" s="118"/>
      <c r="OVK9" s="118"/>
      <c r="OVQ9" s="118"/>
      <c r="OVW9" s="118"/>
      <c r="OWC9" s="118"/>
      <c r="OWI9" s="118"/>
      <c r="OWO9" s="118"/>
      <c r="OWU9" s="118"/>
      <c r="OXA9" s="118"/>
      <c r="OXG9" s="118"/>
      <c r="OXM9" s="118"/>
      <c r="OXS9" s="118"/>
      <c r="OXY9" s="118"/>
      <c r="OYE9" s="118"/>
      <c r="OYK9" s="118"/>
      <c r="OYQ9" s="118"/>
      <c r="OYW9" s="118"/>
      <c r="OZC9" s="118"/>
      <c r="OZI9" s="118"/>
      <c r="OZO9" s="118"/>
      <c r="OZU9" s="118"/>
      <c r="PAA9" s="118"/>
      <c r="PAG9" s="118"/>
      <c r="PAM9" s="118"/>
      <c r="PAS9" s="118"/>
      <c r="PAY9" s="118"/>
      <c r="PBE9" s="118"/>
      <c r="PBK9" s="118"/>
      <c r="PBQ9" s="118"/>
      <c r="PBW9" s="118"/>
      <c r="PCC9" s="118"/>
      <c r="PCI9" s="118"/>
      <c r="PCO9" s="118"/>
      <c r="PCU9" s="118"/>
      <c r="PDA9" s="118"/>
      <c r="PDG9" s="118"/>
      <c r="PDM9" s="118"/>
      <c r="PDS9" s="118"/>
      <c r="PDY9" s="118"/>
      <c r="PEE9" s="118"/>
      <c r="PEK9" s="118"/>
      <c r="PEQ9" s="118"/>
      <c r="PEW9" s="118"/>
      <c r="PFC9" s="118"/>
      <c r="PFI9" s="118"/>
      <c r="PFO9" s="118"/>
      <c r="PFU9" s="118"/>
      <c r="PGA9" s="118"/>
      <c r="PGG9" s="118"/>
      <c r="PGM9" s="118"/>
      <c r="PGS9" s="118"/>
      <c r="PGY9" s="118"/>
      <c r="PHE9" s="118"/>
      <c r="PHK9" s="118"/>
      <c r="PHQ9" s="118"/>
      <c r="PHW9" s="118"/>
      <c r="PIC9" s="118"/>
      <c r="PII9" s="118"/>
      <c r="PIO9" s="118"/>
      <c r="PIU9" s="118"/>
      <c r="PJA9" s="118"/>
      <c r="PJG9" s="118"/>
      <c r="PJM9" s="118"/>
      <c r="PJS9" s="118"/>
      <c r="PJY9" s="118"/>
      <c r="PKE9" s="118"/>
      <c r="PKK9" s="118"/>
      <c r="PKQ9" s="118"/>
      <c r="PKW9" s="118"/>
      <c r="PLC9" s="118"/>
      <c r="PLI9" s="118"/>
      <c r="PLO9" s="118"/>
      <c r="PLU9" s="118"/>
      <c r="PMA9" s="118"/>
      <c r="PMG9" s="118"/>
      <c r="PMM9" s="118"/>
      <c r="PMS9" s="118"/>
      <c r="PMY9" s="118"/>
      <c r="PNE9" s="118"/>
      <c r="PNK9" s="118"/>
      <c r="PNQ9" s="118"/>
      <c r="PNW9" s="118"/>
      <c r="POC9" s="118"/>
      <c r="POI9" s="118"/>
      <c r="POO9" s="118"/>
      <c r="POU9" s="118"/>
      <c r="PPA9" s="118"/>
      <c r="PPG9" s="118"/>
      <c r="PPM9" s="118"/>
      <c r="PPS9" s="118"/>
      <c r="PPY9" s="118"/>
      <c r="PQE9" s="118"/>
      <c r="PQK9" s="118"/>
      <c r="PQQ9" s="118"/>
      <c r="PQW9" s="118"/>
      <c r="PRC9" s="118"/>
      <c r="PRI9" s="118"/>
      <c r="PRO9" s="118"/>
      <c r="PRU9" s="118"/>
      <c r="PSA9" s="118"/>
      <c r="PSG9" s="118"/>
      <c r="PSM9" s="118"/>
      <c r="PSS9" s="118"/>
      <c r="PSY9" s="118"/>
      <c r="PTE9" s="118"/>
      <c r="PTK9" s="118"/>
      <c r="PTQ9" s="118"/>
      <c r="PTW9" s="118"/>
      <c r="PUC9" s="118"/>
      <c r="PUI9" s="118"/>
      <c r="PUO9" s="118"/>
      <c r="PUU9" s="118"/>
      <c r="PVA9" s="118"/>
      <c r="PVG9" s="118"/>
      <c r="PVM9" s="118"/>
      <c r="PVS9" s="118"/>
      <c r="PVY9" s="118"/>
      <c r="PWE9" s="118"/>
      <c r="PWK9" s="118"/>
      <c r="PWQ9" s="118"/>
      <c r="PWW9" s="118"/>
      <c r="PXC9" s="118"/>
      <c r="PXI9" s="118"/>
      <c r="PXO9" s="118"/>
      <c r="PXU9" s="118"/>
      <c r="PYA9" s="118"/>
      <c r="PYG9" s="118"/>
      <c r="PYM9" s="118"/>
      <c r="PYS9" s="118"/>
      <c r="PYY9" s="118"/>
      <c r="PZE9" s="118"/>
      <c r="PZK9" s="118"/>
      <c r="PZQ9" s="118"/>
      <c r="PZW9" s="118"/>
      <c r="QAC9" s="118"/>
      <c r="QAI9" s="118"/>
      <c r="QAO9" s="118"/>
      <c r="QAU9" s="118"/>
      <c r="QBA9" s="118"/>
      <c r="QBG9" s="118"/>
      <c r="QBM9" s="118"/>
      <c r="QBS9" s="118"/>
      <c r="QBY9" s="118"/>
      <c r="QCE9" s="118"/>
      <c r="QCK9" s="118"/>
      <c r="QCQ9" s="118"/>
      <c r="QCW9" s="118"/>
      <c r="QDC9" s="118"/>
      <c r="QDI9" s="118"/>
      <c r="QDO9" s="118"/>
      <c r="QDU9" s="118"/>
      <c r="QEA9" s="118"/>
      <c r="QEG9" s="118"/>
      <c r="QEM9" s="118"/>
      <c r="QES9" s="118"/>
      <c r="QEY9" s="118"/>
      <c r="QFE9" s="118"/>
      <c r="QFK9" s="118"/>
      <c r="QFQ9" s="118"/>
      <c r="QFW9" s="118"/>
      <c r="QGC9" s="118"/>
      <c r="QGI9" s="118"/>
      <c r="QGO9" s="118"/>
      <c r="QGU9" s="118"/>
      <c r="QHA9" s="118"/>
      <c r="QHG9" s="118"/>
      <c r="QHM9" s="118"/>
      <c r="QHS9" s="118"/>
      <c r="QHY9" s="118"/>
      <c r="QIE9" s="118"/>
      <c r="QIK9" s="118"/>
      <c r="QIQ9" s="118"/>
      <c r="QIW9" s="118"/>
      <c r="QJC9" s="118"/>
      <c r="QJI9" s="118"/>
      <c r="QJO9" s="118"/>
      <c r="QJU9" s="118"/>
      <c r="QKA9" s="118"/>
      <c r="QKG9" s="118"/>
      <c r="QKM9" s="118"/>
      <c r="QKS9" s="118"/>
      <c r="QKY9" s="118"/>
      <c r="QLE9" s="118"/>
      <c r="QLK9" s="118"/>
      <c r="QLQ9" s="118"/>
      <c r="QLW9" s="118"/>
      <c r="QMC9" s="118"/>
      <c r="QMI9" s="118"/>
      <c r="QMO9" s="118"/>
      <c r="QMU9" s="118"/>
      <c r="QNA9" s="118"/>
      <c r="QNG9" s="118"/>
      <c r="QNM9" s="118"/>
      <c r="QNS9" s="118"/>
      <c r="QNY9" s="118"/>
      <c r="QOE9" s="118"/>
      <c r="QOK9" s="118"/>
      <c r="QOQ9" s="118"/>
      <c r="QOW9" s="118"/>
      <c r="QPC9" s="118"/>
      <c r="QPI9" s="118"/>
      <c r="QPO9" s="118"/>
      <c r="QPU9" s="118"/>
      <c r="QQA9" s="118"/>
      <c r="QQG9" s="118"/>
      <c r="QQM9" s="118"/>
      <c r="QQS9" s="118"/>
      <c r="QQY9" s="118"/>
      <c r="QRE9" s="118"/>
      <c r="QRK9" s="118"/>
      <c r="QRQ9" s="118"/>
      <c r="QRW9" s="118"/>
      <c r="QSC9" s="118"/>
      <c r="QSI9" s="118"/>
      <c r="QSO9" s="118"/>
      <c r="QSU9" s="118"/>
      <c r="QTA9" s="118"/>
      <c r="QTG9" s="118"/>
      <c r="QTM9" s="118"/>
      <c r="QTS9" s="118"/>
      <c r="QTY9" s="118"/>
      <c r="QUE9" s="118"/>
      <c r="QUK9" s="118"/>
      <c r="QUQ9" s="118"/>
      <c r="QUW9" s="118"/>
      <c r="QVC9" s="118"/>
      <c r="QVI9" s="118"/>
      <c r="QVO9" s="118"/>
      <c r="QVU9" s="118"/>
      <c r="QWA9" s="118"/>
      <c r="QWG9" s="118"/>
      <c r="QWM9" s="118"/>
      <c r="QWS9" s="118"/>
      <c r="QWY9" s="118"/>
      <c r="QXE9" s="118"/>
      <c r="QXK9" s="118"/>
      <c r="QXQ9" s="118"/>
      <c r="QXW9" s="118"/>
      <c r="QYC9" s="118"/>
      <c r="QYI9" s="118"/>
      <c r="QYO9" s="118"/>
      <c r="QYU9" s="118"/>
      <c r="QZA9" s="118"/>
      <c r="QZG9" s="118"/>
      <c r="QZM9" s="118"/>
      <c r="QZS9" s="118"/>
      <c r="QZY9" s="118"/>
      <c r="RAE9" s="118"/>
      <c r="RAK9" s="118"/>
      <c r="RAQ9" s="118"/>
      <c r="RAW9" s="118"/>
      <c r="RBC9" s="118"/>
      <c r="RBI9" s="118"/>
      <c r="RBO9" s="118"/>
      <c r="RBU9" s="118"/>
      <c r="RCA9" s="118"/>
      <c r="RCG9" s="118"/>
      <c r="RCM9" s="118"/>
      <c r="RCS9" s="118"/>
      <c r="RCY9" s="118"/>
      <c r="RDE9" s="118"/>
      <c r="RDK9" s="118"/>
      <c r="RDQ9" s="118"/>
      <c r="RDW9" s="118"/>
      <c r="REC9" s="118"/>
      <c r="REI9" s="118"/>
      <c r="REO9" s="118"/>
      <c r="REU9" s="118"/>
      <c r="RFA9" s="118"/>
      <c r="RFG9" s="118"/>
      <c r="RFM9" s="118"/>
      <c r="RFS9" s="118"/>
      <c r="RFY9" s="118"/>
      <c r="RGE9" s="118"/>
      <c r="RGK9" s="118"/>
      <c r="RGQ9" s="118"/>
      <c r="RGW9" s="118"/>
      <c r="RHC9" s="118"/>
      <c r="RHI9" s="118"/>
      <c r="RHO9" s="118"/>
      <c r="RHU9" s="118"/>
      <c r="RIA9" s="118"/>
      <c r="RIG9" s="118"/>
      <c r="RIM9" s="118"/>
      <c r="RIS9" s="118"/>
      <c r="RIY9" s="118"/>
      <c r="RJE9" s="118"/>
      <c r="RJK9" s="118"/>
      <c r="RJQ9" s="118"/>
      <c r="RJW9" s="118"/>
      <c r="RKC9" s="118"/>
      <c r="RKI9" s="118"/>
      <c r="RKO9" s="118"/>
      <c r="RKU9" s="118"/>
      <c r="RLA9" s="118"/>
      <c r="RLG9" s="118"/>
      <c r="RLM9" s="118"/>
      <c r="RLS9" s="118"/>
      <c r="RLY9" s="118"/>
      <c r="RME9" s="118"/>
      <c r="RMK9" s="118"/>
      <c r="RMQ9" s="118"/>
      <c r="RMW9" s="118"/>
      <c r="RNC9" s="118"/>
      <c r="RNI9" s="118"/>
      <c r="RNO9" s="118"/>
      <c r="RNU9" s="118"/>
      <c r="ROA9" s="118"/>
      <c r="ROG9" s="118"/>
      <c r="ROM9" s="118"/>
      <c r="ROS9" s="118"/>
      <c r="ROY9" s="118"/>
      <c r="RPE9" s="118"/>
      <c r="RPK9" s="118"/>
      <c r="RPQ9" s="118"/>
      <c r="RPW9" s="118"/>
      <c r="RQC9" s="118"/>
      <c r="RQI9" s="118"/>
      <c r="RQO9" s="118"/>
      <c r="RQU9" s="118"/>
      <c r="RRA9" s="118"/>
      <c r="RRG9" s="118"/>
      <c r="RRM9" s="118"/>
      <c r="RRS9" s="118"/>
      <c r="RRY9" s="118"/>
      <c r="RSE9" s="118"/>
      <c r="RSK9" s="118"/>
      <c r="RSQ9" s="118"/>
      <c r="RSW9" s="118"/>
      <c r="RTC9" s="118"/>
      <c r="RTI9" s="118"/>
      <c r="RTO9" s="118"/>
      <c r="RTU9" s="118"/>
      <c r="RUA9" s="118"/>
      <c r="RUG9" s="118"/>
      <c r="RUM9" s="118"/>
      <c r="RUS9" s="118"/>
      <c r="RUY9" s="118"/>
      <c r="RVE9" s="118"/>
      <c r="RVK9" s="118"/>
      <c r="RVQ9" s="118"/>
      <c r="RVW9" s="118"/>
      <c r="RWC9" s="118"/>
      <c r="RWI9" s="118"/>
      <c r="RWO9" s="118"/>
      <c r="RWU9" s="118"/>
      <c r="RXA9" s="118"/>
      <c r="RXG9" s="118"/>
      <c r="RXM9" s="118"/>
      <c r="RXS9" s="118"/>
      <c r="RXY9" s="118"/>
      <c r="RYE9" s="118"/>
      <c r="RYK9" s="118"/>
      <c r="RYQ9" s="118"/>
      <c r="RYW9" s="118"/>
      <c r="RZC9" s="118"/>
      <c r="RZI9" s="118"/>
      <c r="RZO9" s="118"/>
      <c r="RZU9" s="118"/>
      <c r="SAA9" s="118"/>
      <c r="SAG9" s="118"/>
      <c r="SAM9" s="118"/>
      <c r="SAS9" s="118"/>
      <c r="SAY9" s="118"/>
      <c r="SBE9" s="118"/>
      <c r="SBK9" s="118"/>
      <c r="SBQ9" s="118"/>
      <c r="SBW9" s="118"/>
      <c r="SCC9" s="118"/>
      <c r="SCI9" s="118"/>
      <c r="SCO9" s="118"/>
      <c r="SCU9" s="118"/>
      <c r="SDA9" s="118"/>
      <c r="SDG9" s="118"/>
      <c r="SDM9" s="118"/>
      <c r="SDS9" s="118"/>
      <c r="SDY9" s="118"/>
      <c r="SEE9" s="118"/>
      <c r="SEK9" s="118"/>
      <c r="SEQ9" s="118"/>
      <c r="SEW9" s="118"/>
      <c r="SFC9" s="118"/>
      <c r="SFI9" s="118"/>
      <c r="SFO9" s="118"/>
      <c r="SFU9" s="118"/>
      <c r="SGA9" s="118"/>
      <c r="SGG9" s="118"/>
      <c r="SGM9" s="118"/>
      <c r="SGS9" s="118"/>
      <c r="SGY9" s="118"/>
      <c r="SHE9" s="118"/>
      <c r="SHK9" s="118"/>
      <c r="SHQ9" s="118"/>
      <c r="SHW9" s="118"/>
      <c r="SIC9" s="118"/>
      <c r="SII9" s="118"/>
      <c r="SIO9" s="118"/>
      <c r="SIU9" s="118"/>
      <c r="SJA9" s="118"/>
      <c r="SJG9" s="118"/>
      <c r="SJM9" s="118"/>
      <c r="SJS9" s="118"/>
      <c r="SJY9" s="118"/>
      <c r="SKE9" s="118"/>
      <c r="SKK9" s="118"/>
      <c r="SKQ9" s="118"/>
      <c r="SKW9" s="118"/>
      <c r="SLC9" s="118"/>
      <c r="SLI9" s="118"/>
      <c r="SLO9" s="118"/>
      <c r="SLU9" s="118"/>
      <c r="SMA9" s="118"/>
      <c r="SMG9" s="118"/>
      <c r="SMM9" s="118"/>
      <c r="SMS9" s="118"/>
      <c r="SMY9" s="118"/>
      <c r="SNE9" s="118"/>
      <c r="SNK9" s="118"/>
      <c r="SNQ9" s="118"/>
      <c r="SNW9" s="118"/>
      <c r="SOC9" s="118"/>
      <c r="SOI9" s="118"/>
      <c r="SOO9" s="118"/>
      <c r="SOU9" s="118"/>
      <c r="SPA9" s="118"/>
      <c r="SPG9" s="118"/>
      <c r="SPM9" s="118"/>
      <c r="SPS9" s="118"/>
      <c r="SPY9" s="118"/>
      <c r="SQE9" s="118"/>
      <c r="SQK9" s="118"/>
      <c r="SQQ9" s="118"/>
      <c r="SQW9" s="118"/>
      <c r="SRC9" s="118"/>
      <c r="SRI9" s="118"/>
      <c r="SRO9" s="118"/>
      <c r="SRU9" s="118"/>
      <c r="SSA9" s="118"/>
      <c r="SSG9" s="118"/>
      <c r="SSM9" s="118"/>
      <c r="SSS9" s="118"/>
      <c r="SSY9" s="118"/>
      <c r="STE9" s="118"/>
      <c r="STK9" s="118"/>
      <c r="STQ9" s="118"/>
      <c r="STW9" s="118"/>
      <c r="SUC9" s="118"/>
      <c r="SUI9" s="118"/>
      <c r="SUO9" s="118"/>
      <c r="SUU9" s="118"/>
      <c r="SVA9" s="118"/>
      <c r="SVG9" s="118"/>
      <c r="SVM9" s="118"/>
      <c r="SVS9" s="118"/>
      <c r="SVY9" s="118"/>
      <c r="SWE9" s="118"/>
      <c r="SWK9" s="118"/>
      <c r="SWQ9" s="118"/>
      <c r="SWW9" s="118"/>
      <c r="SXC9" s="118"/>
      <c r="SXI9" s="118"/>
      <c r="SXO9" s="118"/>
      <c r="SXU9" s="118"/>
      <c r="SYA9" s="118"/>
      <c r="SYG9" s="118"/>
      <c r="SYM9" s="118"/>
      <c r="SYS9" s="118"/>
      <c r="SYY9" s="118"/>
      <c r="SZE9" s="118"/>
      <c r="SZK9" s="118"/>
      <c r="SZQ9" s="118"/>
      <c r="SZW9" s="118"/>
      <c r="TAC9" s="118"/>
      <c r="TAI9" s="118"/>
      <c r="TAO9" s="118"/>
      <c r="TAU9" s="118"/>
      <c r="TBA9" s="118"/>
      <c r="TBG9" s="118"/>
      <c r="TBM9" s="118"/>
      <c r="TBS9" s="118"/>
      <c r="TBY9" s="118"/>
      <c r="TCE9" s="118"/>
      <c r="TCK9" s="118"/>
      <c r="TCQ9" s="118"/>
      <c r="TCW9" s="118"/>
      <c r="TDC9" s="118"/>
      <c r="TDI9" s="118"/>
      <c r="TDO9" s="118"/>
      <c r="TDU9" s="118"/>
      <c r="TEA9" s="118"/>
      <c r="TEG9" s="118"/>
      <c r="TEM9" s="118"/>
      <c r="TES9" s="118"/>
      <c r="TEY9" s="118"/>
      <c r="TFE9" s="118"/>
      <c r="TFK9" s="118"/>
      <c r="TFQ9" s="118"/>
      <c r="TFW9" s="118"/>
      <c r="TGC9" s="118"/>
      <c r="TGI9" s="118"/>
      <c r="TGO9" s="118"/>
      <c r="TGU9" s="118"/>
      <c r="THA9" s="118"/>
      <c r="THG9" s="118"/>
      <c r="THM9" s="118"/>
      <c r="THS9" s="118"/>
      <c r="THY9" s="118"/>
      <c r="TIE9" s="118"/>
      <c r="TIK9" s="118"/>
      <c r="TIQ9" s="118"/>
      <c r="TIW9" s="118"/>
      <c r="TJC9" s="118"/>
      <c r="TJI9" s="118"/>
      <c r="TJO9" s="118"/>
      <c r="TJU9" s="118"/>
      <c r="TKA9" s="118"/>
      <c r="TKG9" s="118"/>
      <c r="TKM9" s="118"/>
      <c r="TKS9" s="118"/>
      <c r="TKY9" s="118"/>
      <c r="TLE9" s="118"/>
      <c r="TLK9" s="118"/>
      <c r="TLQ9" s="118"/>
      <c r="TLW9" s="118"/>
      <c r="TMC9" s="118"/>
      <c r="TMI9" s="118"/>
      <c r="TMO9" s="118"/>
      <c r="TMU9" s="118"/>
      <c r="TNA9" s="118"/>
      <c r="TNG9" s="118"/>
      <c r="TNM9" s="118"/>
      <c r="TNS9" s="118"/>
      <c r="TNY9" s="118"/>
      <c r="TOE9" s="118"/>
      <c r="TOK9" s="118"/>
      <c r="TOQ9" s="118"/>
      <c r="TOW9" s="118"/>
      <c r="TPC9" s="118"/>
      <c r="TPI9" s="118"/>
      <c r="TPO9" s="118"/>
      <c r="TPU9" s="118"/>
      <c r="TQA9" s="118"/>
      <c r="TQG9" s="118"/>
      <c r="TQM9" s="118"/>
      <c r="TQS9" s="118"/>
      <c r="TQY9" s="118"/>
      <c r="TRE9" s="118"/>
      <c r="TRK9" s="118"/>
      <c r="TRQ9" s="118"/>
      <c r="TRW9" s="118"/>
      <c r="TSC9" s="118"/>
      <c r="TSI9" s="118"/>
      <c r="TSO9" s="118"/>
      <c r="TSU9" s="118"/>
      <c r="TTA9" s="118"/>
      <c r="TTG9" s="118"/>
      <c r="TTM9" s="118"/>
      <c r="TTS9" s="118"/>
      <c r="TTY9" s="118"/>
      <c r="TUE9" s="118"/>
      <c r="TUK9" s="118"/>
      <c r="TUQ9" s="118"/>
      <c r="TUW9" s="118"/>
      <c r="TVC9" s="118"/>
      <c r="TVI9" s="118"/>
      <c r="TVO9" s="118"/>
      <c r="TVU9" s="118"/>
      <c r="TWA9" s="118"/>
      <c r="TWG9" s="118"/>
      <c r="TWM9" s="118"/>
      <c r="TWS9" s="118"/>
      <c r="TWY9" s="118"/>
      <c r="TXE9" s="118"/>
      <c r="TXK9" s="118"/>
      <c r="TXQ9" s="118"/>
      <c r="TXW9" s="118"/>
      <c r="TYC9" s="118"/>
      <c r="TYI9" s="118"/>
      <c r="TYO9" s="118"/>
      <c r="TYU9" s="118"/>
      <c r="TZA9" s="118"/>
      <c r="TZG9" s="118"/>
      <c r="TZM9" s="118"/>
      <c r="TZS9" s="118"/>
      <c r="TZY9" s="118"/>
      <c r="UAE9" s="118"/>
      <c r="UAK9" s="118"/>
      <c r="UAQ9" s="118"/>
      <c r="UAW9" s="118"/>
      <c r="UBC9" s="118"/>
      <c r="UBI9" s="118"/>
      <c r="UBO9" s="118"/>
      <c r="UBU9" s="118"/>
      <c r="UCA9" s="118"/>
      <c r="UCG9" s="118"/>
      <c r="UCM9" s="118"/>
      <c r="UCS9" s="118"/>
      <c r="UCY9" s="118"/>
      <c r="UDE9" s="118"/>
      <c r="UDK9" s="118"/>
      <c r="UDQ9" s="118"/>
      <c r="UDW9" s="118"/>
      <c r="UEC9" s="118"/>
      <c r="UEI9" s="118"/>
      <c r="UEO9" s="118"/>
      <c r="UEU9" s="118"/>
      <c r="UFA9" s="118"/>
      <c r="UFG9" s="118"/>
      <c r="UFM9" s="118"/>
      <c r="UFS9" s="118"/>
      <c r="UFY9" s="118"/>
      <c r="UGE9" s="118"/>
      <c r="UGK9" s="118"/>
      <c r="UGQ9" s="118"/>
      <c r="UGW9" s="118"/>
      <c r="UHC9" s="118"/>
      <c r="UHI9" s="118"/>
      <c r="UHO9" s="118"/>
      <c r="UHU9" s="118"/>
      <c r="UIA9" s="118"/>
      <c r="UIG9" s="118"/>
      <c r="UIM9" s="118"/>
      <c r="UIS9" s="118"/>
      <c r="UIY9" s="118"/>
      <c r="UJE9" s="118"/>
      <c r="UJK9" s="118"/>
      <c r="UJQ9" s="118"/>
      <c r="UJW9" s="118"/>
      <c r="UKC9" s="118"/>
      <c r="UKI9" s="118"/>
      <c r="UKO9" s="118"/>
      <c r="UKU9" s="118"/>
      <c r="ULA9" s="118"/>
      <c r="ULG9" s="118"/>
      <c r="ULM9" s="118"/>
      <c r="ULS9" s="118"/>
      <c r="ULY9" s="118"/>
      <c r="UME9" s="118"/>
      <c r="UMK9" s="118"/>
      <c r="UMQ9" s="118"/>
      <c r="UMW9" s="118"/>
      <c r="UNC9" s="118"/>
      <c r="UNI9" s="118"/>
      <c r="UNO9" s="118"/>
      <c r="UNU9" s="118"/>
      <c r="UOA9" s="118"/>
      <c r="UOG9" s="118"/>
      <c r="UOM9" s="118"/>
      <c r="UOS9" s="118"/>
      <c r="UOY9" s="118"/>
      <c r="UPE9" s="118"/>
      <c r="UPK9" s="118"/>
      <c r="UPQ9" s="118"/>
      <c r="UPW9" s="118"/>
      <c r="UQC9" s="118"/>
      <c r="UQI9" s="118"/>
      <c r="UQO9" s="118"/>
      <c r="UQU9" s="118"/>
      <c r="URA9" s="118"/>
      <c r="URG9" s="118"/>
      <c r="URM9" s="118"/>
      <c r="URS9" s="118"/>
      <c r="URY9" s="118"/>
      <c r="USE9" s="118"/>
      <c r="USK9" s="118"/>
      <c r="USQ9" s="118"/>
      <c r="USW9" s="118"/>
      <c r="UTC9" s="118"/>
      <c r="UTI9" s="118"/>
      <c r="UTO9" s="118"/>
      <c r="UTU9" s="118"/>
      <c r="UUA9" s="118"/>
      <c r="UUG9" s="118"/>
      <c r="UUM9" s="118"/>
      <c r="UUS9" s="118"/>
      <c r="UUY9" s="118"/>
      <c r="UVE9" s="118"/>
      <c r="UVK9" s="118"/>
      <c r="UVQ9" s="118"/>
      <c r="UVW9" s="118"/>
      <c r="UWC9" s="118"/>
      <c r="UWI9" s="118"/>
      <c r="UWO9" s="118"/>
      <c r="UWU9" s="118"/>
      <c r="UXA9" s="118"/>
      <c r="UXG9" s="118"/>
      <c r="UXM9" s="118"/>
      <c r="UXS9" s="118"/>
      <c r="UXY9" s="118"/>
      <c r="UYE9" s="118"/>
      <c r="UYK9" s="118"/>
      <c r="UYQ9" s="118"/>
      <c r="UYW9" s="118"/>
      <c r="UZC9" s="118"/>
      <c r="UZI9" s="118"/>
      <c r="UZO9" s="118"/>
      <c r="UZU9" s="118"/>
      <c r="VAA9" s="118"/>
      <c r="VAG9" s="118"/>
      <c r="VAM9" s="118"/>
      <c r="VAS9" s="118"/>
      <c r="VAY9" s="118"/>
      <c r="VBE9" s="118"/>
      <c r="VBK9" s="118"/>
      <c r="VBQ9" s="118"/>
      <c r="VBW9" s="118"/>
      <c r="VCC9" s="118"/>
      <c r="VCI9" s="118"/>
      <c r="VCO9" s="118"/>
      <c r="VCU9" s="118"/>
      <c r="VDA9" s="118"/>
      <c r="VDG9" s="118"/>
      <c r="VDM9" s="118"/>
      <c r="VDS9" s="118"/>
      <c r="VDY9" s="118"/>
      <c r="VEE9" s="118"/>
      <c r="VEK9" s="118"/>
      <c r="VEQ9" s="118"/>
      <c r="VEW9" s="118"/>
      <c r="VFC9" s="118"/>
      <c r="VFI9" s="118"/>
      <c r="VFO9" s="118"/>
      <c r="VFU9" s="118"/>
      <c r="VGA9" s="118"/>
      <c r="VGG9" s="118"/>
      <c r="VGM9" s="118"/>
      <c r="VGS9" s="118"/>
      <c r="VGY9" s="118"/>
      <c r="VHE9" s="118"/>
      <c r="VHK9" s="118"/>
      <c r="VHQ9" s="118"/>
      <c r="VHW9" s="118"/>
      <c r="VIC9" s="118"/>
      <c r="VII9" s="118"/>
      <c r="VIO9" s="118"/>
      <c r="VIU9" s="118"/>
      <c r="VJA9" s="118"/>
      <c r="VJG9" s="118"/>
      <c r="VJM9" s="118"/>
      <c r="VJS9" s="118"/>
      <c r="VJY9" s="118"/>
      <c r="VKE9" s="118"/>
      <c r="VKK9" s="118"/>
      <c r="VKQ9" s="118"/>
      <c r="VKW9" s="118"/>
      <c r="VLC9" s="118"/>
      <c r="VLI9" s="118"/>
      <c r="VLO9" s="118"/>
      <c r="VLU9" s="118"/>
      <c r="VMA9" s="118"/>
      <c r="VMG9" s="118"/>
      <c r="VMM9" s="118"/>
      <c r="VMS9" s="118"/>
      <c r="VMY9" s="118"/>
      <c r="VNE9" s="118"/>
      <c r="VNK9" s="118"/>
      <c r="VNQ9" s="118"/>
      <c r="VNW9" s="118"/>
      <c r="VOC9" s="118"/>
      <c r="VOI9" s="118"/>
      <c r="VOO9" s="118"/>
      <c r="VOU9" s="118"/>
      <c r="VPA9" s="118"/>
      <c r="VPG9" s="118"/>
      <c r="VPM9" s="118"/>
      <c r="VPS9" s="118"/>
      <c r="VPY9" s="118"/>
      <c r="VQE9" s="118"/>
      <c r="VQK9" s="118"/>
      <c r="VQQ9" s="118"/>
      <c r="VQW9" s="118"/>
      <c r="VRC9" s="118"/>
      <c r="VRI9" s="118"/>
      <c r="VRO9" s="118"/>
      <c r="VRU9" s="118"/>
      <c r="VSA9" s="118"/>
      <c r="VSG9" s="118"/>
      <c r="VSM9" s="118"/>
      <c r="VSS9" s="118"/>
      <c r="VSY9" s="118"/>
      <c r="VTE9" s="118"/>
      <c r="VTK9" s="118"/>
      <c r="VTQ9" s="118"/>
      <c r="VTW9" s="118"/>
      <c r="VUC9" s="118"/>
      <c r="VUI9" s="118"/>
      <c r="VUO9" s="118"/>
      <c r="VUU9" s="118"/>
      <c r="VVA9" s="118"/>
      <c r="VVG9" s="118"/>
      <c r="VVM9" s="118"/>
      <c r="VVS9" s="118"/>
      <c r="VVY9" s="118"/>
      <c r="VWE9" s="118"/>
      <c r="VWK9" s="118"/>
      <c r="VWQ9" s="118"/>
      <c r="VWW9" s="118"/>
      <c r="VXC9" s="118"/>
      <c r="VXI9" s="118"/>
      <c r="VXO9" s="118"/>
      <c r="VXU9" s="118"/>
      <c r="VYA9" s="118"/>
      <c r="VYG9" s="118"/>
      <c r="VYM9" s="118"/>
      <c r="VYS9" s="118"/>
      <c r="VYY9" s="118"/>
      <c r="VZE9" s="118"/>
      <c r="VZK9" s="118"/>
      <c r="VZQ9" s="118"/>
      <c r="VZW9" s="118"/>
      <c r="WAC9" s="118"/>
      <c r="WAI9" s="118"/>
      <c r="WAO9" s="118"/>
      <c r="WAU9" s="118"/>
      <c r="WBA9" s="118"/>
      <c r="WBG9" s="118"/>
      <c r="WBM9" s="118"/>
      <c r="WBS9" s="118"/>
      <c r="WBY9" s="118"/>
      <c r="WCE9" s="118"/>
      <c r="WCK9" s="118"/>
      <c r="WCQ9" s="118"/>
      <c r="WCW9" s="118"/>
      <c r="WDC9" s="118"/>
      <c r="WDI9" s="118"/>
      <c r="WDO9" s="118"/>
      <c r="WDU9" s="118"/>
      <c r="WEA9" s="118"/>
      <c r="WEG9" s="118"/>
      <c r="WEM9" s="118"/>
      <c r="WES9" s="118"/>
      <c r="WEY9" s="118"/>
      <c r="WFE9" s="118"/>
      <c r="WFK9" s="118"/>
      <c r="WFQ9" s="118"/>
      <c r="WFW9" s="118"/>
      <c r="WGC9" s="118"/>
      <c r="WGI9" s="118"/>
      <c r="WGO9" s="118"/>
      <c r="WGU9" s="118"/>
      <c r="WHA9" s="118"/>
      <c r="WHG9" s="118"/>
      <c r="WHM9" s="118"/>
      <c r="WHS9" s="118"/>
      <c r="WHY9" s="118"/>
      <c r="WIE9" s="118"/>
      <c r="WIK9" s="118"/>
      <c r="WIQ9" s="118"/>
      <c r="WIW9" s="118"/>
      <c r="WJC9" s="118"/>
      <c r="WJI9" s="118"/>
      <c r="WJO9" s="118"/>
      <c r="WJU9" s="118"/>
      <c r="WKA9" s="118"/>
      <c r="WKG9" s="118"/>
      <c r="WKM9" s="118"/>
      <c r="WKS9" s="118"/>
      <c r="WKY9" s="118"/>
      <c r="WLE9" s="118"/>
      <c r="WLK9" s="118"/>
      <c r="WLQ9" s="118"/>
      <c r="WLW9" s="118"/>
      <c r="WMC9" s="118"/>
      <c r="WMI9" s="118"/>
      <c r="WMO9" s="118"/>
      <c r="WMU9" s="118"/>
      <c r="WNA9" s="118"/>
      <c r="WNG9" s="118"/>
      <c r="WNM9" s="118"/>
      <c r="WNS9" s="118"/>
      <c r="WNY9" s="118"/>
      <c r="WOE9" s="118"/>
      <c r="WOK9" s="118"/>
      <c r="WOQ9" s="118"/>
      <c r="WOW9" s="118"/>
      <c r="WPC9" s="118"/>
      <c r="WPI9" s="118"/>
      <c r="WPO9" s="118"/>
      <c r="WPU9" s="118"/>
      <c r="WQA9" s="118"/>
      <c r="WQG9" s="118"/>
      <c r="WQM9" s="118"/>
      <c r="WQS9" s="118"/>
      <c r="WQY9" s="118"/>
      <c r="WRE9" s="118"/>
      <c r="WRK9" s="118"/>
      <c r="WRQ9" s="118"/>
      <c r="WRW9" s="118"/>
      <c r="WSC9" s="118"/>
      <c r="WSI9" s="118"/>
      <c r="WSO9" s="118"/>
      <c r="WSU9" s="118"/>
      <c r="WTA9" s="118"/>
      <c r="WTG9" s="118"/>
      <c r="WTM9" s="118"/>
      <c r="WTS9" s="118"/>
      <c r="WTY9" s="118"/>
      <c r="WUE9" s="118"/>
      <c r="WUK9" s="118"/>
      <c r="WUQ9" s="118"/>
      <c r="WUW9" s="118"/>
      <c r="WVC9" s="118"/>
      <c r="WVI9" s="118"/>
      <c r="WVO9" s="118"/>
      <c r="WVU9" s="118"/>
      <c r="WWA9" s="118"/>
      <c r="WWG9" s="118"/>
      <c r="WWM9" s="118"/>
      <c r="WWS9" s="118"/>
      <c r="WWY9" s="118"/>
      <c r="WXE9" s="118"/>
      <c r="WXK9" s="118"/>
      <c r="WXQ9" s="118"/>
      <c r="WXW9" s="118"/>
      <c r="WYC9" s="118"/>
      <c r="WYI9" s="118"/>
      <c r="WYO9" s="118"/>
      <c r="WYU9" s="118"/>
      <c r="WZA9" s="118"/>
      <c r="WZG9" s="118"/>
      <c r="WZM9" s="118"/>
      <c r="WZS9" s="118"/>
      <c r="WZY9" s="118"/>
      <c r="XAE9" s="118"/>
      <c r="XAK9" s="118"/>
      <c r="XAQ9" s="118"/>
      <c r="XAW9" s="118"/>
      <c r="XBC9" s="118"/>
      <c r="XBI9" s="118"/>
      <c r="XBO9" s="118"/>
      <c r="XBU9" s="118"/>
      <c r="XCA9" s="118"/>
      <c r="XCG9" s="118"/>
      <c r="XCM9" s="118"/>
      <c r="XCS9" s="118"/>
      <c r="XCY9" s="118"/>
      <c r="XDE9" s="118"/>
      <c r="XDK9" s="118"/>
      <c r="XDQ9" s="118"/>
      <c r="XDW9" s="118"/>
      <c r="XEC9" s="118"/>
      <c r="XEI9" s="118"/>
      <c r="XEO9" s="118"/>
      <c r="XEU9" s="118"/>
      <c r="XFA9" s="118"/>
    </row>
    <row r="10" spans="1:1021 1027:2047 2053:3067 3073:4093 4099:5119 5125:6139 6145:7165 7171:8191 8197:9211 9217:10237 10243:11263 11269:12283 12289:13309 13315:14335 14341:15355 15361:16381" x14ac:dyDescent="0.25">
      <c r="A10" s="50" t="s">
        <v>90</v>
      </c>
      <c r="B10" s="46" t="s">
        <v>618</v>
      </c>
      <c r="C10" s="46" t="s">
        <v>619</v>
      </c>
      <c r="D10" s="46" t="s">
        <v>620</v>
      </c>
      <c r="E10" s="46" t="s">
        <v>621</v>
      </c>
      <c r="F10" s="46" t="s">
        <v>91</v>
      </c>
      <c r="G10" s="46" t="s">
        <v>92</v>
      </c>
      <c r="H10" s="46" t="s">
        <v>622</v>
      </c>
    </row>
    <row r="11" spans="1:1021 1027:2047 2053:3067 3073:4093 4099:5119 5125:6139 6145:7165 7171:8191 8197:9211 9217:10237 10243:11263 11269:12283 12289:13309 13315:14335 14341:15355 15361:16381" x14ac:dyDescent="0.25">
      <c r="A11" s="50" t="s">
        <v>93</v>
      </c>
      <c r="B11" s="46" t="s">
        <v>94</v>
      </c>
      <c r="C11" s="46" t="s">
        <v>95</v>
      </c>
      <c r="D11" s="46" t="s">
        <v>96</v>
      </c>
      <c r="E11" s="46" t="s">
        <v>623</v>
      </c>
      <c r="F11" s="46" t="s">
        <v>624</v>
      </c>
      <c r="G11" s="46" t="s">
        <v>625</v>
      </c>
    </row>
    <row r="12" spans="1:1021 1027:2047 2053:3067 3073:4093 4099:5119 5125:6139 6145:7165 7171:8191 8197:9211 9217:10237 10243:11263 11269:12283 12289:13309 13315:14335 14341:15355 15361:16381" x14ac:dyDescent="0.25">
      <c r="A12" s="50" t="s">
        <v>97</v>
      </c>
      <c r="B12" s="46" t="s">
        <v>98</v>
      </c>
      <c r="C12" s="46" t="s">
        <v>626</v>
      </c>
      <c r="D12" s="46" t="s">
        <v>99</v>
      </c>
      <c r="E12" s="46" t="s">
        <v>627</v>
      </c>
    </row>
    <row r="13" spans="1:1021 1027:2047 2053:3067 3073:4093 4099:5119 5125:6139 6145:7165 7171:8191 8197:9211 9217:10237 10243:11263 11269:12283 12289:13309 13315:14335 14341:15355 15361:16381" x14ac:dyDescent="0.25">
      <c r="A13" s="50" t="s">
        <v>100</v>
      </c>
      <c r="B13" s="46" t="s">
        <v>101</v>
      </c>
      <c r="C13" s="46" t="s">
        <v>628</v>
      </c>
      <c r="D13" s="46" t="s">
        <v>629</v>
      </c>
    </row>
    <row r="14" spans="1:1021 1027:2047 2053:3067 3073:4093 4099:5119 5125:6139 6145:7165 7171:8191 8197:9211 9217:10237 10243:11263 11269:12283 12289:13309 13315:14335 14341:15355 15361:16381" s="119" customFormat="1" x14ac:dyDescent="0.25">
      <c r="A14" s="120" t="s">
        <v>105</v>
      </c>
      <c r="B14" s="119" t="s">
        <v>89</v>
      </c>
      <c r="C14" s="119" t="s">
        <v>106</v>
      </c>
      <c r="D14" s="119" t="s">
        <v>107</v>
      </c>
      <c r="E14" s="119" t="s">
        <v>617</v>
      </c>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E14" s="118"/>
      <c r="DK14" s="118"/>
      <c r="DQ14" s="118"/>
      <c r="DW14" s="118"/>
      <c r="EC14" s="118"/>
      <c r="EI14" s="118"/>
      <c r="EO14" s="118"/>
      <c r="EU14" s="118"/>
      <c r="FA14" s="118"/>
      <c r="FG14" s="118"/>
      <c r="FM14" s="118"/>
      <c r="FS14" s="118"/>
      <c r="FY14" s="118"/>
      <c r="GE14" s="118"/>
      <c r="GK14" s="118"/>
      <c r="GQ14" s="118"/>
      <c r="GW14" s="118"/>
      <c r="HC14" s="118"/>
      <c r="HI14" s="118"/>
      <c r="HO14" s="118"/>
      <c r="HU14" s="118"/>
      <c r="IA14" s="118"/>
      <c r="IG14" s="118"/>
      <c r="IM14" s="118"/>
      <c r="IS14" s="118"/>
      <c r="IY14" s="118"/>
      <c r="JE14" s="118"/>
      <c r="JK14" s="118"/>
      <c r="JQ14" s="118"/>
      <c r="JW14" s="118"/>
      <c r="KC14" s="118"/>
      <c r="KI14" s="118"/>
      <c r="KO14" s="118"/>
      <c r="KU14" s="118"/>
      <c r="LA14" s="118"/>
      <c r="LG14" s="118"/>
      <c r="LM14" s="118"/>
      <c r="LS14" s="118"/>
      <c r="LY14" s="118"/>
      <c r="ME14" s="118"/>
      <c r="MK14" s="118"/>
      <c r="MQ14" s="118"/>
      <c r="MW14" s="118"/>
      <c r="NC14" s="118"/>
      <c r="NI14" s="118"/>
      <c r="NO14" s="118"/>
      <c r="NU14" s="118"/>
      <c r="OA14" s="118"/>
      <c r="OG14" s="118"/>
      <c r="OM14" s="118"/>
      <c r="OS14" s="118"/>
      <c r="OY14" s="118"/>
      <c r="PE14" s="118"/>
      <c r="PK14" s="118"/>
      <c r="PQ14" s="118"/>
      <c r="PW14" s="118"/>
      <c r="QC14" s="118"/>
      <c r="QI14" s="118"/>
      <c r="QO14" s="118"/>
      <c r="QU14" s="118"/>
      <c r="RA14" s="118"/>
      <c r="RG14" s="118"/>
      <c r="RM14" s="118"/>
      <c r="RS14" s="118"/>
      <c r="RY14" s="118"/>
      <c r="SE14" s="118"/>
      <c r="SK14" s="118"/>
      <c r="SQ14" s="118"/>
      <c r="SW14" s="118"/>
      <c r="TC14" s="118"/>
      <c r="TI14" s="118"/>
      <c r="TO14" s="118"/>
      <c r="TU14" s="118"/>
      <c r="UA14" s="118"/>
      <c r="UG14" s="118"/>
      <c r="UM14" s="118"/>
      <c r="US14" s="118"/>
      <c r="UY14" s="118"/>
      <c r="VE14" s="118"/>
      <c r="VK14" s="118"/>
      <c r="VQ14" s="118"/>
      <c r="VW14" s="118"/>
      <c r="WC14" s="118"/>
      <c r="WI14" s="118"/>
      <c r="WO14" s="118"/>
      <c r="WU14" s="118"/>
      <c r="XA14" s="118"/>
      <c r="XG14" s="118"/>
      <c r="XM14" s="118"/>
      <c r="XS14" s="118"/>
      <c r="XY14" s="118"/>
      <c r="YE14" s="118"/>
      <c r="YK14" s="118"/>
      <c r="YQ14" s="118"/>
      <c r="YW14" s="118"/>
      <c r="ZC14" s="118"/>
      <c r="ZI14" s="118"/>
      <c r="ZO14" s="118"/>
      <c r="ZU14" s="118"/>
      <c r="AAA14" s="118"/>
      <c r="AAG14" s="118"/>
      <c r="AAM14" s="118"/>
      <c r="AAS14" s="118"/>
      <c r="AAY14" s="118"/>
      <c r="ABE14" s="118"/>
      <c r="ABK14" s="118"/>
      <c r="ABQ14" s="118"/>
      <c r="ABW14" s="118"/>
      <c r="ACC14" s="118"/>
      <c r="ACI14" s="118"/>
      <c r="ACO14" s="118"/>
      <c r="ACU14" s="118"/>
      <c r="ADA14" s="118"/>
      <c r="ADG14" s="118"/>
      <c r="ADM14" s="118"/>
      <c r="ADS14" s="118"/>
      <c r="ADY14" s="118"/>
      <c r="AEE14" s="118"/>
      <c r="AEK14" s="118"/>
      <c r="AEQ14" s="118"/>
      <c r="AEW14" s="118"/>
      <c r="AFC14" s="118"/>
      <c r="AFI14" s="118"/>
      <c r="AFO14" s="118"/>
      <c r="AFU14" s="118"/>
      <c r="AGA14" s="118"/>
      <c r="AGG14" s="118"/>
      <c r="AGM14" s="118"/>
      <c r="AGS14" s="118"/>
      <c r="AGY14" s="118"/>
      <c r="AHE14" s="118"/>
      <c r="AHK14" s="118"/>
      <c r="AHQ14" s="118"/>
      <c r="AHW14" s="118"/>
      <c r="AIC14" s="118"/>
      <c r="AII14" s="118"/>
      <c r="AIO14" s="118"/>
      <c r="AIU14" s="118"/>
      <c r="AJA14" s="118"/>
      <c r="AJG14" s="118"/>
      <c r="AJM14" s="118"/>
      <c r="AJS14" s="118"/>
      <c r="AJY14" s="118"/>
      <c r="AKE14" s="118"/>
      <c r="AKK14" s="118"/>
      <c r="AKQ14" s="118"/>
      <c r="AKW14" s="118"/>
      <c r="ALC14" s="118"/>
      <c r="ALI14" s="118"/>
      <c r="ALO14" s="118"/>
      <c r="ALU14" s="118"/>
      <c r="AMA14" s="118"/>
      <c r="AMG14" s="118"/>
      <c r="AMM14" s="118"/>
      <c r="AMS14" s="118"/>
      <c r="AMY14" s="118"/>
      <c r="ANE14" s="118"/>
      <c r="ANK14" s="118"/>
      <c r="ANQ14" s="118"/>
      <c r="ANW14" s="118"/>
      <c r="AOC14" s="118"/>
      <c r="AOI14" s="118"/>
      <c r="AOO14" s="118"/>
      <c r="AOU14" s="118"/>
      <c r="APA14" s="118"/>
      <c r="APG14" s="118"/>
      <c r="APM14" s="118"/>
      <c r="APS14" s="118"/>
      <c r="APY14" s="118"/>
      <c r="AQE14" s="118"/>
      <c r="AQK14" s="118"/>
      <c r="AQQ14" s="118"/>
      <c r="AQW14" s="118"/>
      <c r="ARC14" s="118"/>
      <c r="ARI14" s="118"/>
      <c r="ARO14" s="118"/>
      <c r="ARU14" s="118"/>
      <c r="ASA14" s="118"/>
      <c r="ASG14" s="118"/>
      <c r="ASM14" s="118"/>
      <c r="ASS14" s="118"/>
      <c r="ASY14" s="118"/>
      <c r="ATE14" s="118"/>
      <c r="ATK14" s="118"/>
      <c r="ATQ14" s="118"/>
      <c r="ATW14" s="118"/>
      <c r="AUC14" s="118"/>
      <c r="AUI14" s="118"/>
      <c r="AUO14" s="118"/>
      <c r="AUU14" s="118"/>
      <c r="AVA14" s="118"/>
      <c r="AVG14" s="118"/>
      <c r="AVM14" s="118"/>
      <c r="AVS14" s="118"/>
      <c r="AVY14" s="118"/>
      <c r="AWE14" s="118"/>
      <c r="AWK14" s="118"/>
      <c r="AWQ14" s="118"/>
      <c r="AWW14" s="118"/>
      <c r="AXC14" s="118"/>
      <c r="AXI14" s="118"/>
      <c r="AXO14" s="118"/>
      <c r="AXU14" s="118"/>
      <c r="AYA14" s="118"/>
      <c r="AYG14" s="118"/>
      <c r="AYM14" s="118"/>
      <c r="AYS14" s="118"/>
      <c r="AYY14" s="118"/>
      <c r="AZE14" s="118"/>
      <c r="AZK14" s="118"/>
      <c r="AZQ14" s="118"/>
      <c r="AZW14" s="118"/>
      <c r="BAC14" s="118"/>
      <c r="BAI14" s="118"/>
      <c r="BAO14" s="118"/>
      <c r="BAU14" s="118"/>
      <c r="BBA14" s="118"/>
      <c r="BBG14" s="118"/>
      <c r="BBM14" s="118"/>
      <c r="BBS14" s="118"/>
      <c r="BBY14" s="118"/>
      <c r="BCE14" s="118"/>
      <c r="BCK14" s="118"/>
      <c r="BCQ14" s="118"/>
      <c r="BCW14" s="118"/>
      <c r="BDC14" s="118"/>
      <c r="BDI14" s="118"/>
      <c r="BDO14" s="118"/>
      <c r="BDU14" s="118"/>
      <c r="BEA14" s="118"/>
      <c r="BEG14" s="118"/>
      <c r="BEM14" s="118"/>
      <c r="BES14" s="118"/>
      <c r="BEY14" s="118"/>
      <c r="BFE14" s="118"/>
      <c r="BFK14" s="118"/>
      <c r="BFQ14" s="118"/>
      <c r="BFW14" s="118"/>
      <c r="BGC14" s="118"/>
      <c r="BGI14" s="118"/>
      <c r="BGO14" s="118"/>
      <c r="BGU14" s="118"/>
      <c r="BHA14" s="118"/>
      <c r="BHG14" s="118"/>
      <c r="BHM14" s="118"/>
      <c r="BHS14" s="118"/>
      <c r="BHY14" s="118"/>
      <c r="BIE14" s="118"/>
      <c r="BIK14" s="118"/>
      <c r="BIQ14" s="118"/>
      <c r="BIW14" s="118"/>
      <c r="BJC14" s="118"/>
      <c r="BJI14" s="118"/>
      <c r="BJO14" s="118"/>
      <c r="BJU14" s="118"/>
      <c r="BKA14" s="118"/>
      <c r="BKG14" s="118"/>
      <c r="BKM14" s="118"/>
      <c r="BKS14" s="118"/>
      <c r="BKY14" s="118"/>
      <c r="BLE14" s="118"/>
      <c r="BLK14" s="118"/>
      <c r="BLQ14" s="118"/>
      <c r="BLW14" s="118"/>
      <c r="BMC14" s="118"/>
      <c r="BMI14" s="118"/>
      <c r="BMO14" s="118"/>
      <c r="BMU14" s="118"/>
      <c r="BNA14" s="118"/>
      <c r="BNG14" s="118"/>
      <c r="BNM14" s="118"/>
      <c r="BNS14" s="118"/>
      <c r="BNY14" s="118"/>
      <c r="BOE14" s="118"/>
      <c r="BOK14" s="118"/>
      <c r="BOQ14" s="118"/>
      <c r="BOW14" s="118"/>
      <c r="BPC14" s="118"/>
      <c r="BPI14" s="118"/>
      <c r="BPO14" s="118"/>
      <c r="BPU14" s="118"/>
      <c r="BQA14" s="118"/>
      <c r="BQG14" s="118"/>
      <c r="BQM14" s="118"/>
      <c r="BQS14" s="118"/>
      <c r="BQY14" s="118"/>
      <c r="BRE14" s="118"/>
      <c r="BRK14" s="118"/>
      <c r="BRQ14" s="118"/>
      <c r="BRW14" s="118"/>
      <c r="BSC14" s="118"/>
      <c r="BSI14" s="118"/>
      <c r="BSO14" s="118"/>
      <c r="BSU14" s="118"/>
      <c r="BTA14" s="118"/>
      <c r="BTG14" s="118"/>
      <c r="BTM14" s="118"/>
      <c r="BTS14" s="118"/>
      <c r="BTY14" s="118"/>
      <c r="BUE14" s="118"/>
      <c r="BUK14" s="118"/>
      <c r="BUQ14" s="118"/>
      <c r="BUW14" s="118"/>
      <c r="BVC14" s="118"/>
      <c r="BVI14" s="118"/>
      <c r="BVO14" s="118"/>
      <c r="BVU14" s="118"/>
      <c r="BWA14" s="118"/>
      <c r="BWG14" s="118"/>
      <c r="BWM14" s="118"/>
      <c r="BWS14" s="118"/>
      <c r="BWY14" s="118"/>
      <c r="BXE14" s="118"/>
      <c r="BXK14" s="118"/>
      <c r="BXQ14" s="118"/>
      <c r="BXW14" s="118"/>
      <c r="BYC14" s="118"/>
      <c r="BYI14" s="118"/>
      <c r="BYO14" s="118"/>
      <c r="BYU14" s="118"/>
      <c r="BZA14" s="118"/>
      <c r="BZG14" s="118"/>
      <c r="BZM14" s="118"/>
      <c r="BZS14" s="118"/>
      <c r="BZY14" s="118"/>
      <c r="CAE14" s="118"/>
      <c r="CAK14" s="118"/>
      <c r="CAQ14" s="118"/>
      <c r="CAW14" s="118"/>
      <c r="CBC14" s="118"/>
      <c r="CBI14" s="118"/>
      <c r="CBO14" s="118"/>
      <c r="CBU14" s="118"/>
      <c r="CCA14" s="118"/>
      <c r="CCG14" s="118"/>
      <c r="CCM14" s="118"/>
      <c r="CCS14" s="118"/>
      <c r="CCY14" s="118"/>
      <c r="CDE14" s="118"/>
      <c r="CDK14" s="118"/>
      <c r="CDQ14" s="118"/>
      <c r="CDW14" s="118"/>
      <c r="CEC14" s="118"/>
      <c r="CEI14" s="118"/>
      <c r="CEO14" s="118"/>
      <c r="CEU14" s="118"/>
      <c r="CFA14" s="118"/>
      <c r="CFG14" s="118"/>
      <c r="CFM14" s="118"/>
      <c r="CFS14" s="118"/>
      <c r="CFY14" s="118"/>
      <c r="CGE14" s="118"/>
      <c r="CGK14" s="118"/>
      <c r="CGQ14" s="118"/>
      <c r="CGW14" s="118"/>
      <c r="CHC14" s="118"/>
      <c r="CHI14" s="118"/>
      <c r="CHO14" s="118"/>
      <c r="CHU14" s="118"/>
      <c r="CIA14" s="118"/>
      <c r="CIG14" s="118"/>
      <c r="CIM14" s="118"/>
      <c r="CIS14" s="118"/>
      <c r="CIY14" s="118"/>
      <c r="CJE14" s="118"/>
      <c r="CJK14" s="118"/>
      <c r="CJQ14" s="118"/>
      <c r="CJW14" s="118"/>
      <c r="CKC14" s="118"/>
      <c r="CKI14" s="118"/>
      <c r="CKO14" s="118"/>
      <c r="CKU14" s="118"/>
      <c r="CLA14" s="118"/>
      <c r="CLG14" s="118"/>
      <c r="CLM14" s="118"/>
      <c r="CLS14" s="118"/>
      <c r="CLY14" s="118"/>
      <c r="CME14" s="118"/>
      <c r="CMK14" s="118"/>
      <c r="CMQ14" s="118"/>
      <c r="CMW14" s="118"/>
      <c r="CNC14" s="118"/>
      <c r="CNI14" s="118"/>
      <c r="CNO14" s="118"/>
      <c r="CNU14" s="118"/>
      <c r="COA14" s="118"/>
      <c r="COG14" s="118"/>
      <c r="COM14" s="118"/>
      <c r="COS14" s="118"/>
      <c r="COY14" s="118"/>
      <c r="CPE14" s="118"/>
      <c r="CPK14" s="118"/>
      <c r="CPQ14" s="118"/>
      <c r="CPW14" s="118"/>
      <c r="CQC14" s="118"/>
      <c r="CQI14" s="118"/>
      <c r="CQO14" s="118"/>
      <c r="CQU14" s="118"/>
      <c r="CRA14" s="118"/>
      <c r="CRG14" s="118"/>
      <c r="CRM14" s="118"/>
      <c r="CRS14" s="118"/>
      <c r="CRY14" s="118"/>
      <c r="CSE14" s="118"/>
      <c r="CSK14" s="118"/>
      <c r="CSQ14" s="118"/>
      <c r="CSW14" s="118"/>
      <c r="CTC14" s="118"/>
      <c r="CTI14" s="118"/>
      <c r="CTO14" s="118"/>
      <c r="CTU14" s="118"/>
      <c r="CUA14" s="118"/>
      <c r="CUG14" s="118"/>
      <c r="CUM14" s="118"/>
      <c r="CUS14" s="118"/>
      <c r="CUY14" s="118"/>
      <c r="CVE14" s="118"/>
      <c r="CVK14" s="118"/>
      <c r="CVQ14" s="118"/>
      <c r="CVW14" s="118"/>
      <c r="CWC14" s="118"/>
      <c r="CWI14" s="118"/>
      <c r="CWO14" s="118"/>
      <c r="CWU14" s="118"/>
      <c r="CXA14" s="118"/>
      <c r="CXG14" s="118"/>
      <c r="CXM14" s="118"/>
      <c r="CXS14" s="118"/>
      <c r="CXY14" s="118"/>
      <c r="CYE14" s="118"/>
      <c r="CYK14" s="118"/>
      <c r="CYQ14" s="118"/>
      <c r="CYW14" s="118"/>
      <c r="CZC14" s="118"/>
      <c r="CZI14" s="118"/>
      <c r="CZO14" s="118"/>
      <c r="CZU14" s="118"/>
      <c r="DAA14" s="118"/>
      <c r="DAG14" s="118"/>
      <c r="DAM14" s="118"/>
      <c r="DAS14" s="118"/>
      <c r="DAY14" s="118"/>
      <c r="DBE14" s="118"/>
      <c r="DBK14" s="118"/>
      <c r="DBQ14" s="118"/>
      <c r="DBW14" s="118"/>
      <c r="DCC14" s="118"/>
      <c r="DCI14" s="118"/>
      <c r="DCO14" s="118"/>
      <c r="DCU14" s="118"/>
      <c r="DDA14" s="118"/>
      <c r="DDG14" s="118"/>
      <c r="DDM14" s="118"/>
      <c r="DDS14" s="118"/>
      <c r="DDY14" s="118"/>
      <c r="DEE14" s="118"/>
      <c r="DEK14" s="118"/>
      <c r="DEQ14" s="118"/>
      <c r="DEW14" s="118"/>
      <c r="DFC14" s="118"/>
      <c r="DFI14" s="118"/>
      <c r="DFO14" s="118"/>
      <c r="DFU14" s="118"/>
      <c r="DGA14" s="118"/>
      <c r="DGG14" s="118"/>
      <c r="DGM14" s="118"/>
      <c r="DGS14" s="118"/>
      <c r="DGY14" s="118"/>
      <c r="DHE14" s="118"/>
      <c r="DHK14" s="118"/>
      <c r="DHQ14" s="118"/>
      <c r="DHW14" s="118"/>
      <c r="DIC14" s="118"/>
      <c r="DII14" s="118"/>
      <c r="DIO14" s="118"/>
      <c r="DIU14" s="118"/>
      <c r="DJA14" s="118"/>
      <c r="DJG14" s="118"/>
      <c r="DJM14" s="118"/>
      <c r="DJS14" s="118"/>
      <c r="DJY14" s="118"/>
      <c r="DKE14" s="118"/>
      <c r="DKK14" s="118"/>
      <c r="DKQ14" s="118"/>
      <c r="DKW14" s="118"/>
      <c r="DLC14" s="118"/>
      <c r="DLI14" s="118"/>
      <c r="DLO14" s="118"/>
      <c r="DLU14" s="118"/>
      <c r="DMA14" s="118"/>
      <c r="DMG14" s="118"/>
      <c r="DMM14" s="118"/>
      <c r="DMS14" s="118"/>
      <c r="DMY14" s="118"/>
      <c r="DNE14" s="118"/>
      <c r="DNK14" s="118"/>
      <c r="DNQ14" s="118"/>
      <c r="DNW14" s="118"/>
      <c r="DOC14" s="118"/>
      <c r="DOI14" s="118"/>
      <c r="DOO14" s="118"/>
      <c r="DOU14" s="118"/>
      <c r="DPA14" s="118"/>
      <c r="DPG14" s="118"/>
      <c r="DPM14" s="118"/>
      <c r="DPS14" s="118"/>
      <c r="DPY14" s="118"/>
      <c r="DQE14" s="118"/>
      <c r="DQK14" s="118"/>
      <c r="DQQ14" s="118"/>
      <c r="DQW14" s="118"/>
      <c r="DRC14" s="118"/>
      <c r="DRI14" s="118"/>
      <c r="DRO14" s="118"/>
      <c r="DRU14" s="118"/>
      <c r="DSA14" s="118"/>
      <c r="DSG14" s="118"/>
      <c r="DSM14" s="118"/>
      <c r="DSS14" s="118"/>
      <c r="DSY14" s="118"/>
      <c r="DTE14" s="118"/>
      <c r="DTK14" s="118"/>
      <c r="DTQ14" s="118"/>
      <c r="DTW14" s="118"/>
      <c r="DUC14" s="118"/>
      <c r="DUI14" s="118"/>
      <c r="DUO14" s="118"/>
      <c r="DUU14" s="118"/>
      <c r="DVA14" s="118"/>
      <c r="DVG14" s="118"/>
      <c r="DVM14" s="118"/>
      <c r="DVS14" s="118"/>
      <c r="DVY14" s="118"/>
      <c r="DWE14" s="118"/>
      <c r="DWK14" s="118"/>
      <c r="DWQ14" s="118"/>
      <c r="DWW14" s="118"/>
      <c r="DXC14" s="118"/>
      <c r="DXI14" s="118"/>
      <c r="DXO14" s="118"/>
      <c r="DXU14" s="118"/>
      <c r="DYA14" s="118"/>
      <c r="DYG14" s="118"/>
      <c r="DYM14" s="118"/>
      <c r="DYS14" s="118"/>
      <c r="DYY14" s="118"/>
      <c r="DZE14" s="118"/>
      <c r="DZK14" s="118"/>
      <c r="DZQ14" s="118"/>
      <c r="DZW14" s="118"/>
      <c r="EAC14" s="118"/>
      <c r="EAI14" s="118"/>
      <c r="EAO14" s="118"/>
      <c r="EAU14" s="118"/>
      <c r="EBA14" s="118"/>
      <c r="EBG14" s="118"/>
      <c r="EBM14" s="118"/>
      <c r="EBS14" s="118"/>
      <c r="EBY14" s="118"/>
      <c r="ECE14" s="118"/>
      <c r="ECK14" s="118"/>
      <c r="ECQ14" s="118"/>
      <c r="ECW14" s="118"/>
      <c r="EDC14" s="118"/>
      <c r="EDI14" s="118"/>
      <c r="EDO14" s="118"/>
      <c r="EDU14" s="118"/>
      <c r="EEA14" s="118"/>
      <c r="EEG14" s="118"/>
      <c r="EEM14" s="118"/>
      <c r="EES14" s="118"/>
      <c r="EEY14" s="118"/>
      <c r="EFE14" s="118"/>
      <c r="EFK14" s="118"/>
      <c r="EFQ14" s="118"/>
      <c r="EFW14" s="118"/>
      <c r="EGC14" s="118"/>
      <c r="EGI14" s="118"/>
      <c r="EGO14" s="118"/>
      <c r="EGU14" s="118"/>
      <c r="EHA14" s="118"/>
      <c r="EHG14" s="118"/>
      <c r="EHM14" s="118"/>
      <c r="EHS14" s="118"/>
      <c r="EHY14" s="118"/>
      <c r="EIE14" s="118"/>
      <c r="EIK14" s="118"/>
      <c r="EIQ14" s="118"/>
      <c r="EIW14" s="118"/>
      <c r="EJC14" s="118"/>
      <c r="EJI14" s="118"/>
      <c r="EJO14" s="118"/>
      <c r="EJU14" s="118"/>
      <c r="EKA14" s="118"/>
      <c r="EKG14" s="118"/>
      <c r="EKM14" s="118"/>
      <c r="EKS14" s="118"/>
      <c r="EKY14" s="118"/>
      <c r="ELE14" s="118"/>
      <c r="ELK14" s="118"/>
      <c r="ELQ14" s="118"/>
      <c r="ELW14" s="118"/>
      <c r="EMC14" s="118"/>
      <c r="EMI14" s="118"/>
      <c r="EMO14" s="118"/>
      <c r="EMU14" s="118"/>
      <c r="ENA14" s="118"/>
      <c r="ENG14" s="118"/>
      <c r="ENM14" s="118"/>
      <c r="ENS14" s="118"/>
      <c r="ENY14" s="118"/>
      <c r="EOE14" s="118"/>
      <c r="EOK14" s="118"/>
      <c r="EOQ14" s="118"/>
      <c r="EOW14" s="118"/>
      <c r="EPC14" s="118"/>
      <c r="EPI14" s="118"/>
      <c r="EPO14" s="118"/>
      <c r="EPU14" s="118"/>
      <c r="EQA14" s="118"/>
      <c r="EQG14" s="118"/>
      <c r="EQM14" s="118"/>
      <c r="EQS14" s="118"/>
      <c r="EQY14" s="118"/>
      <c r="ERE14" s="118"/>
      <c r="ERK14" s="118"/>
      <c r="ERQ14" s="118"/>
      <c r="ERW14" s="118"/>
      <c r="ESC14" s="118"/>
      <c r="ESI14" s="118"/>
      <c r="ESO14" s="118"/>
      <c r="ESU14" s="118"/>
      <c r="ETA14" s="118"/>
      <c r="ETG14" s="118"/>
      <c r="ETM14" s="118"/>
      <c r="ETS14" s="118"/>
      <c r="ETY14" s="118"/>
      <c r="EUE14" s="118"/>
      <c r="EUK14" s="118"/>
      <c r="EUQ14" s="118"/>
      <c r="EUW14" s="118"/>
      <c r="EVC14" s="118"/>
      <c r="EVI14" s="118"/>
      <c r="EVO14" s="118"/>
      <c r="EVU14" s="118"/>
      <c r="EWA14" s="118"/>
      <c r="EWG14" s="118"/>
      <c r="EWM14" s="118"/>
      <c r="EWS14" s="118"/>
      <c r="EWY14" s="118"/>
      <c r="EXE14" s="118"/>
      <c r="EXK14" s="118"/>
      <c r="EXQ14" s="118"/>
      <c r="EXW14" s="118"/>
      <c r="EYC14" s="118"/>
      <c r="EYI14" s="118"/>
      <c r="EYO14" s="118"/>
      <c r="EYU14" s="118"/>
      <c r="EZA14" s="118"/>
      <c r="EZG14" s="118"/>
      <c r="EZM14" s="118"/>
      <c r="EZS14" s="118"/>
      <c r="EZY14" s="118"/>
      <c r="FAE14" s="118"/>
      <c r="FAK14" s="118"/>
      <c r="FAQ14" s="118"/>
      <c r="FAW14" s="118"/>
      <c r="FBC14" s="118"/>
      <c r="FBI14" s="118"/>
      <c r="FBO14" s="118"/>
      <c r="FBU14" s="118"/>
      <c r="FCA14" s="118"/>
      <c r="FCG14" s="118"/>
      <c r="FCM14" s="118"/>
      <c r="FCS14" s="118"/>
      <c r="FCY14" s="118"/>
      <c r="FDE14" s="118"/>
      <c r="FDK14" s="118"/>
      <c r="FDQ14" s="118"/>
      <c r="FDW14" s="118"/>
      <c r="FEC14" s="118"/>
      <c r="FEI14" s="118"/>
      <c r="FEO14" s="118"/>
      <c r="FEU14" s="118"/>
      <c r="FFA14" s="118"/>
      <c r="FFG14" s="118"/>
      <c r="FFM14" s="118"/>
      <c r="FFS14" s="118"/>
      <c r="FFY14" s="118"/>
      <c r="FGE14" s="118"/>
      <c r="FGK14" s="118"/>
      <c r="FGQ14" s="118"/>
      <c r="FGW14" s="118"/>
      <c r="FHC14" s="118"/>
      <c r="FHI14" s="118"/>
      <c r="FHO14" s="118"/>
      <c r="FHU14" s="118"/>
      <c r="FIA14" s="118"/>
      <c r="FIG14" s="118"/>
      <c r="FIM14" s="118"/>
      <c r="FIS14" s="118"/>
      <c r="FIY14" s="118"/>
      <c r="FJE14" s="118"/>
      <c r="FJK14" s="118"/>
      <c r="FJQ14" s="118"/>
      <c r="FJW14" s="118"/>
      <c r="FKC14" s="118"/>
      <c r="FKI14" s="118"/>
      <c r="FKO14" s="118"/>
      <c r="FKU14" s="118"/>
      <c r="FLA14" s="118"/>
      <c r="FLG14" s="118"/>
      <c r="FLM14" s="118"/>
      <c r="FLS14" s="118"/>
      <c r="FLY14" s="118"/>
      <c r="FME14" s="118"/>
      <c r="FMK14" s="118"/>
      <c r="FMQ14" s="118"/>
      <c r="FMW14" s="118"/>
      <c r="FNC14" s="118"/>
      <c r="FNI14" s="118"/>
      <c r="FNO14" s="118"/>
      <c r="FNU14" s="118"/>
      <c r="FOA14" s="118"/>
      <c r="FOG14" s="118"/>
      <c r="FOM14" s="118"/>
      <c r="FOS14" s="118"/>
      <c r="FOY14" s="118"/>
      <c r="FPE14" s="118"/>
      <c r="FPK14" s="118"/>
      <c r="FPQ14" s="118"/>
      <c r="FPW14" s="118"/>
      <c r="FQC14" s="118"/>
      <c r="FQI14" s="118"/>
      <c r="FQO14" s="118"/>
      <c r="FQU14" s="118"/>
      <c r="FRA14" s="118"/>
      <c r="FRG14" s="118"/>
      <c r="FRM14" s="118"/>
      <c r="FRS14" s="118"/>
      <c r="FRY14" s="118"/>
      <c r="FSE14" s="118"/>
      <c r="FSK14" s="118"/>
      <c r="FSQ14" s="118"/>
      <c r="FSW14" s="118"/>
      <c r="FTC14" s="118"/>
      <c r="FTI14" s="118"/>
      <c r="FTO14" s="118"/>
      <c r="FTU14" s="118"/>
      <c r="FUA14" s="118"/>
      <c r="FUG14" s="118"/>
      <c r="FUM14" s="118"/>
      <c r="FUS14" s="118"/>
      <c r="FUY14" s="118"/>
      <c r="FVE14" s="118"/>
      <c r="FVK14" s="118"/>
      <c r="FVQ14" s="118"/>
      <c r="FVW14" s="118"/>
      <c r="FWC14" s="118"/>
      <c r="FWI14" s="118"/>
      <c r="FWO14" s="118"/>
      <c r="FWU14" s="118"/>
      <c r="FXA14" s="118"/>
      <c r="FXG14" s="118"/>
      <c r="FXM14" s="118"/>
      <c r="FXS14" s="118"/>
      <c r="FXY14" s="118"/>
      <c r="FYE14" s="118"/>
      <c r="FYK14" s="118"/>
      <c r="FYQ14" s="118"/>
      <c r="FYW14" s="118"/>
      <c r="FZC14" s="118"/>
      <c r="FZI14" s="118"/>
      <c r="FZO14" s="118"/>
      <c r="FZU14" s="118"/>
      <c r="GAA14" s="118"/>
      <c r="GAG14" s="118"/>
      <c r="GAM14" s="118"/>
      <c r="GAS14" s="118"/>
      <c r="GAY14" s="118"/>
      <c r="GBE14" s="118"/>
      <c r="GBK14" s="118"/>
      <c r="GBQ14" s="118"/>
      <c r="GBW14" s="118"/>
      <c r="GCC14" s="118"/>
      <c r="GCI14" s="118"/>
      <c r="GCO14" s="118"/>
      <c r="GCU14" s="118"/>
      <c r="GDA14" s="118"/>
      <c r="GDG14" s="118"/>
      <c r="GDM14" s="118"/>
      <c r="GDS14" s="118"/>
      <c r="GDY14" s="118"/>
      <c r="GEE14" s="118"/>
      <c r="GEK14" s="118"/>
      <c r="GEQ14" s="118"/>
      <c r="GEW14" s="118"/>
      <c r="GFC14" s="118"/>
      <c r="GFI14" s="118"/>
      <c r="GFO14" s="118"/>
      <c r="GFU14" s="118"/>
      <c r="GGA14" s="118"/>
      <c r="GGG14" s="118"/>
      <c r="GGM14" s="118"/>
      <c r="GGS14" s="118"/>
      <c r="GGY14" s="118"/>
      <c r="GHE14" s="118"/>
      <c r="GHK14" s="118"/>
      <c r="GHQ14" s="118"/>
      <c r="GHW14" s="118"/>
      <c r="GIC14" s="118"/>
      <c r="GII14" s="118"/>
      <c r="GIO14" s="118"/>
      <c r="GIU14" s="118"/>
      <c r="GJA14" s="118"/>
      <c r="GJG14" s="118"/>
      <c r="GJM14" s="118"/>
      <c r="GJS14" s="118"/>
      <c r="GJY14" s="118"/>
      <c r="GKE14" s="118"/>
      <c r="GKK14" s="118"/>
      <c r="GKQ14" s="118"/>
      <c r="GKW14" s="118"/>
      <c r="GLC14" s="118"/>
      <c r="GLI14" s="118"/>
      <c r="GLO14" s="118"/>
      <c r="GLU14" s="118"/>
      <c r="GMA14" s="118"/>
      <c r="GMG14" s="118"/>
      <c r="GMM14" s="118"/>
      <c r="GMS14" s="118"/>
      <c r="GMY14" s="118"/>
      <c r="GNE14" s="118"/>
      <c r="GNK14" s="118"/>
      <c r="GNQ14" s="118"/>
      <c r="GNW14" s="118"/>
      <c r="GOC14" s="118"/>
      <c r="GOI14" s="118"/>
      <c r="GOO14" s="118"/>
      <c r="GOU14" s="118"/>
      <c r="GPA14" s="118"/>
      <c r="GPG14" s="118"/>
      <c r="GPM14" s="118"/>
      <c r="GPS14" s="118"/>
      <c r="GPY14" s="118"/>
      <c r="GQE14" s="118"/>
      <c r="GQK14" s="118"/>
      <c r="GQQ14" s="118"/>
      <c r="GQW14" s="118"/>
      <c r="GRC14" s="118"/>
      <c r="GRI14" s="118"/>
      <c r="GRO14" s="118"/>
      <c r="GRU14" s="118"/>
      <c r="GSA14" s="118"/>
      <c r="GSG14" s="118"/>
      <c r="GSM14" s="118"/>
      <c r="GSS14" s="118"/>
      <c r="GSY14" s="118"/>
      <c r="GTE14" s="118"/>
      <c r="GTK14" s="118"/>
      <c r="GTQ14" s="118"/>
      <c r="GTW14" s="118"/>
      <c r="GUC14" s="118"/>
      <c r="GUI14" s="118"/>
      <c r="GUO14" s="118"/>
      <c r="GUU14" s="118"/>
      <c r="GVA14" s="118"/>
      <c r="GVG14" s="118"/>
      <c r="GVM14" s="118"/>
      <c r="GVS14" s="118"/>
      <c r="GVY14" s="118"/>
      <c r="GWE14" s="118"/>
      <c r="GWK14" s="118"/>
      <c r="GWQ14" s="118"/>
      <c r="GWW14" s="118"/>
      <c r="GXC14" s="118"/>
      <c r="GXI14" s="118"/>
      <c r="GXO14" s="118"/>
      <c r="GXU14" s="118"/>
      <c r="GYA14" s="118"/>
      <c r="GYG14" s="118"/>
      <c r="GYM14" s="118"/>
      <c r="GYS14" s="118"/>
      <c r="GYY14" s="118"/>
      <c r="GZE14" s="118"/>
      <c r="GZK14" s="118"/>
      <c r="GZQ14" s="118"/>
      <c r="GZW14" s="118"/>
      <c r="HAC14" s="118"/>
      <c r="HAI14" s="118"/>
      <c r="HAO14" s="118"/>
      <c r="HAU14" s="118"/>
      <c r="HBA14" s="118"/>
      <c r="HBG14" s="118"/>
      <c r="HBM14" s="118"/>
      <c r="HBS14" s="118"/>
      <c r="HBY14" s="118"/>
      <c r="HCE14" s="118"/>
      <c r="HCK14" s="118"/>
      <c r="HCQ14" s="118"/>
      <c r="HCW14" s="118"/>
      <c r="HDC14" s="118"/>
      <c r="HDI14" s="118"/>
      <c r="HDO14" s="118"/>
      <c r="HDU14" s="118"/>
      <c r="HEA14" s="118"/>
      <c r="HEG14" s="118"/>
      <c r="HEM14" s="118"/>
      <c r="HES14" s="118"/>
      <c r="HEY14" s="118"/>
      <c r="HFE14" s="118"/>
      <c r="HFK14" s="118"/>
      <c r="HFQ14" s="118"/>
      <c r="HFW14" s="118"/>
      <c r="HGC14" s="118"/>
      <c r="HGI14" s="118"/>
      <c r="HGO14" s="118"/>
      <c r="HGU14" s="118"/>
      <c r="HHA14" s="118"/>
      <c r="HHG14" s="118"/>
      <c r="HHM14" s="118"/>
      <c r="HHS14" s="118"/>
      <c r="HHY14" s="118"/>
      <c r="HIE14" s="118"/>
      <c r="HIK14" s="118"/>
      <c r="HIQ14" s="118"/>
      <c r="HIW14" s="118"/>
      <c r="HJC14" s="118"/>
      <c r="HJI14" s="118"/>
      <c r="HJO14" s="118"/>
      <c r="HJU14" s="118"/>
      <c r="HKA14" s="118"/>
      <c r="HKG14" s="118"/>
      <c r="HKM14" s="118"/>
      <c r="HKS14" s="118"/>
      <c r="HKY14" s="118"/>
      <c r="HLE14" s="118"/>
      <c r="HLK14" s="118"/>
      <c r="HLQ14" s="118"/>
      <c r="HLW14" s="118"/>
      <c r="HMC14" s="118"/>
      <c r="HMI14" s="118"/>
      <c r="HMO14" s="118"/>
      <c r="HMU14" s="118"/>
      <c r="HNA14" s="118"/>
      <c r="HNG14" s="118"/>
      <c r="HNM14" s="118"/>
      <c r="HNS14" s="118"/>
      <c r="HNY14" s="118"/>
      <c r="HOE14" s="118"/>
      <c r="HOK14" s="118"/>
      <c r="HOQ14" s="118"/>
      <c r="HOW14" s="118"/>
      <c r="HPC14" s="118"/>
      <c r="HPI14" s="118"/>
      <c r="HPO14" s="118"/>
      <c r="HPU14" s="118"/>
      <c r="HQA14" s="118"/>
      <c r="HQG14" s="118"/>
      <c r="HQM14" s="118"/>
      <c r="HQS14" s="118"/>
      <c r="HQY14" s="118"/>
      <c r="HRE14" s="118"/>
      <c r="HRK14" s="118"/>
      <c r="HRQ14" s="118"/>
      <c r="HRW14" s="118"/>
      <c r="HSC14" s="118"/>
      <c r="HSI14" s="118"/>
      <c r="HSO14" s="118"/>
      <c r="HSU14" s="118"/>
      <c r="HTA14" s="118"/>
      <c r="HTG14" s="118"/>
      <c r="HTM14" s="118"/>
      <c r="HTS14" s="118"/>
      <c r="HTY14" s="118"/>
      <c r="HUE14" s="118"/>
      <c r="HUK14" s="118"/>
      <c r="HUQ14" s="118"/>
      <c r="HUW14" s="118"/>
      <c r="HVC14" s="118"/>
      <c r="HVI14" s="118"/>
      <c r="HVO14" s="118"/>
      <c r="HVU14" s="118"/>
      <c r="HWA14" s="118"/>
      <c r="HWG14" s="118"/>
      <c r="HWM14" s="118"/>
      <c r="HWS14" s="118"/>
      <c r="HWY14" s="118"/>
      <c r="HXE14" s="118"/>
      <c r="HXK14" s="118"/>
      <c r="HXQ14" s="118"/>
      <c r="HXW14" s="118"/>
      <c r="HYC14" s="118"/>
      <c r="HYI14" s="118"/>
      <c r="HYO14" s="118"/>
      <c r="HYU14" s="118"/>
      <c r="HZA14" s="118"/>
      <c r="HZG14" s="118"/>
      <c r="HZM14" s="118"/>
      <c r="HZS14" s="118"/>
      <c r="HZY14" s="118"/>
      <c r="IAE14" s="118"/>
      <c r="IAK14" s="118"/>
      <c r="IAQ14" s="118"/>
      <c r="IAW14" s="118"/>
      <c r="IBC14" s="118"/>
      <c r="IBI14" s="118"/>
      <c r="IBO14" s="118"/>
      <c r="IBU14" s="118"/>
      <c r="ICA14" s="118"/>
      <c r="ICG14" s="118"/>
      <c r="ICM14" s="118"/>
      <c r="ICS14" s="118"/>
      <c r="ICY14" s="118"/>
      <c r="IDE14" s="118"/>
      <c r="IDK14" s="118"/>
      <c r="IDQ14" s="118"/>
      <c r="IDW14" s="118"/>
      <c r="IEC14" s="118"/>
      <c r="IEI14" s="118"/>
      <c r="IEO14" s="118"/>
      <c r="IEU14" s="118"/>
      <c r="IFA14" s="118"/>
      <c r="IFG14" s="118"/>
      <c r="IFM14" s="118"/>
      <c r="IFS14" s="118"/>
      <c r="IFY14" s="118"/>
      <c r="IGE14" s="118"/>
      <c r="IGK14" s="118"/>
      <c r="IGQ14" s="118"/>
      <c r="IGW14" s="118"/>
      <c r="IHC14" s="118"/>
      <c r="IHI14" s="118"/>
      <c r="IHO14" s="118"/>
      <c r="IHU14" s="118"/>
      <c r="IIA14" s="118"/>
      <c r="IIG14" s="118"/>
      <c r="IIM14" s="118"/>
      <c r="IIS14" s="118"/>
      <c r="IIY14" s="118"/>
      <c r="IJE14" s="118"/>
      <c r="IJK14" s="118"/>
      <c r="IJQ14" s="118"/>
      <c r="IJW14" s="118"/>
      <c r="IKC14" s="118"/>
      <c r="IKI14" s="118"/>
      <c r="IKO14" s="118"/>
      <c r="IKU14" s="118"/>
      <c r="ILA14" s="118"/>
      <c r="ILG14" s="118"/>
      <c r="ILM14" s="118"/>
      <c r="ILS14" s="118"/>
      <c r="ILY14" s="118"/>
      <c r="IME14" s="118"/>
      <c r="IMK14" s="118"/>
      <c r="IMQ14" s="118"/>
      <c r="IMW14" s="118"/>
      <c r="INC14" s="118"/>
      <c r="INI14" s="118"/>
      <c r="INO14" s="118"/>
      <c r="INU14" s="118"/>
      <c r="IOA14" s="118"/>
      <c r="IOG14" s="118"/>
      <c r="IOM14" s="118"/>
      <c r="IOS14" s="118"/>
      <c r="IOY14" s="118"/>
      <c r="IPE14" s="118"/>
      <c r="IPK14" s="118"/>
      <c r="IPQ14" s="118"/>
      <c r="IPW14" s="118"/>
      <c r="IQC14" s="118"/>
      <c r="IQI14" s="118"/>
      <c r="IQO14" s="118"/>
      <c r="IQU14" s="118"/>
      <c r="IRA14" s="118"/>
      <c r="IRG14" s="118"/>
      <c r="IRM14" s="118"/>
      <c r="IRS14" s="118"/>
      <c r="IRY14" s="118"/>
      <c r="ISE14" s="118"/>
      <c r="ISK14" s="118"/>
      <c r="ISQ14" s="118"/>
      <c r="ISW14" s="118"/>
      <c r="ITC14" s="118"/>
      <c r="ITI14" s="118"/>
      <c r="ITO14" s="118"/>
      <c r="ITU14" s="118"/>
      <c r="IUA14" s="118"/>
      <c r="IUG14" s="118"/>
      <c r="IUM14" s="118"/>
      <c r="IUS14" s="118"/>
      <c r="IUY14" s="118"/>
      <c r="IVE14" s="118"/>
      <c r="IVK14" s="118"/>
      <c r="IVQ14" s="118"/>
      <c r="IVW14" s="118"/>
      <c r="IWC14" s="118"/>
      <c r="IWI14" s="118"/>
      <c r="IWO14" s="118"/>
      <c r="IWU14" s="118"/>
      <c r="IXA14" s="118"/>
      <c r="IXG14" s="118"/>
      <c r="IXM14" s="118"/>
      <c r="IXS14" s="118"/>
      <c r="IXY14" s="118"/>
      <c r="IYE14" s="118"/>
      <c r="IYK14" s="118"/>
      <c r="IYQ14" s="118"/>
      <c r="IYW14" s="118"/>
      <c r="IZC14" s="118"/>
      <c r="IZI14" s="118"/>
      <c r="IZO14" s="118"/>
      <c r="IZU14" s="118"/>
      <c r="JAA14" s="118"/>
      <c r="JAG14" s="118"/>
      <c r="JAM14" s="118"/>
      <c r="JAS14" s="118"/>
      <c r="JAY14" s="118"/>
      <c r="JBE14" s="118"/>
      <c r="JBK14" s="118"/>
      <c r="JBQ14" s="118"/>
      <c r="JBW14" s="118"/>
      <c r="JCC14" s="118"/>
      <c r="JCI14" s="118"/>
      <c r="JCO14" s="118"/>
      <c r="JCU14" s="118"/>
      <c r="JDA14" s="118"/>
      <c r="JDG14" s="118"/>
      <c r="JDM14" s="118"/>
      <c r="JDS14" s="118"/>
      <c r="JDY14" s="118"/>
      <c r="JEE14" s="118"/>
      <c r="JEK14" s="118"/>
      <c r="JEQ14" s="118"/>
      <c r="JEW14" s="118"/>
      <c r="JFC14" s="118"/>
      <c r="JFI14" s="118"/>
      <c r="JFO14" s="118"/>
      <c r="JFU14" s="118"/>
      <c r="JGA14" s="118"/>
      <c r="JGG14" s="118"/>
      <c r="JGM14" s="118"/>
      <c r="JGS14" s="118"/>
      <c r="JGY14" s="118"/>
      <c r="JHE14" s="118"/>
      <c r="JHK14" s="118"/>
      <c r="JHQ14" s="118"/>
      <c r="JHW14" s="118"/>
      <c r="JIC14" s="118"/>
      <c r="JII14" s="118"/>
      <c r="JIO14" s="118"/>
      <c r="JIU14" s="118"/>
      <c r="JJA14" s="118"/>
      <c r="JJG14" s="118"/>
      <c r="JJM14" s="118"/>
      <c r="JJS14" s="118"/>
      <c r="JJY14" s="118"/>
      <c r="JKE14" s="118"/>
      <c r="JKK14" s="118"/>
      <c r="JKQ14" s="118"/>
      <c r="JKW14" s="118"/>
      <c r="JLC14" s="118"/>
      <c r="JLI14" s="118"/>
      <c r="JLO14" s="118"/>
      <c r="JLU14" s="118"/>
      <c r="JMA14" s="118"/>
      <c r="JMG14" s="118"/>
      <c r="JMM14" s="118"/>
      <c r="JMS14" s="118"/>
      <c r="JMY14" s="118"/>
      <c r="JNE14" s="118"/>
      <c r="JNK14" s="118"/>
      <c r="JNQ14" s="118"/>
      <c r="JNW14" s="118"/>
      <c r="JOC14" s="118"/>
      <c r="JOI14" s="118"/>
      <c r="JOO14" s="118"/>
      <c r="JOU14" s="118"/>
      <c r="JPA14" s="118"/>
      <c r="JPG14" s="118"/>
      <c r="JPM14" s="118"/>
      <c r="JPS14" s="118"/>
      <c r="JPY14" s="118"/>
      <c r="JQE14" s="118"/>
      <c r="JQK14" s="118"/>
      <c r="JQQ14" s="118"/>
      <c r="JQW14" s="118"/>
      <c r="JRC14" s="118"/>
      <c r="JRI14" s="118"/>
      <c r="JRO14" s="118"/>
      <c r="JRU14" s="118"/>
      <c r="JSA14" s="118"/>
      <c r="JSG14" s="118"/>
      <c r="JSM14" s="118"/>
      <c r="JSS14" s="118"/>
      <c r="JSY14" s="118"/>
      <c r="JTE14" s="118"/>
      <c r="JTK14" s="118"/>
      <c r="JTQ14" s="118"/>
      <c r="JTW14" s="118"/>
      <c r="JUC14" s="118"/>
      <c r="JUI14" s="118"/>
      <c r="JUO14" s="118"/>
      <c r="JUU14" s="118"/>
      <c r="JVA14" s="118"/>
      <c r="JVG14" s="118"/>
      <c r="JVM14" s="118"/>
      <c r="JVS14" s="118"/>
      <c r="JVY14" s="118"/>
      <c r="JWE14" s="118"/>
      <c r="JWK14" s="118"/>
      <c r="JWQ14" s="118"/>
      <c r="JWW14" s="118"/>
      <c r="JXC14" s="118"/>
      <c r="JXI14" s="118"/>
      <c r="JXO14" s="118"/>
      <c r="JXU14" s="118"/>
      <c r="JYA14" s="118"/>
      <c r="JYG14" s="118"/>
      <c r="JYM14" s="118"/>
      <c r="JYS14" s="118"/>
      <c r="JYY14" s="118"/>
      <c r="JZE14" s="118"/>
      <c r="JZK14" s="118"/>
      <c r="JZQ14" s="118"/>
      <c r="JZW14" s="118"/>
      <c r="KAC14" s="118"/>
      <c r="KAI14" s="118"/>
      <c r="KAO14" s="118"/>
      <c r="KAU14" s="118"/>
      <c r="KBA14" s="118"/>
      <c r="KBG14" s="118"/>
      <c r="KBM14" s="118"/>
      <c r="KBS14" s="118"/>
      <c r="KBY14" s="118"/>
      <c r="KCE14" s="118"/>
      <c r="KCK14" s="118"/>
      <c r="KCQ14" s="118"/>
      <c r="KCW14" s="118"/>
      <c r="KDC14" s="118"/>
      <c r="KDI14" s="118"/>
      <c r="KDO14" s="118"/>
      <c r="KDU14" s="118"/>
      <c r="KEA14" s="118"/>
      <c r="KEG14" s="118"/>
      <c r="KEM14" s="118"/>
      <c r="KES14" s="118"/>
      <c r="KEY14" s="118"/>
      <c r="KFE14" s="118"/>
      <c r="KFK14" s="118"/>
      <c r="KFQ14" s="118"/>
      <c r="KFW14" s="118"/>
      <c r="KGC14" s="118"/>
      <c r="KGI14" s="118"/>
      <c r="KGO14" s="118"/>
      <c r="KGU14" s="118"/>
      <c r="KHA14" s="118"/>
      <c r="KHG14" s="118"/>
      <c r="KHM14" s="118"/>
      <c r="KHS14" s="118"/>
      <c r="KHY14" s="118"/>
      <c r="KIE14" s="118"/>
      <c r="KIK14" s="118"/>
      <c r="KIQ14" s="118"/>
      <c r="KIW14" s="118"/>
      <c r="KJC14" s="118"/>
      <c r="KJI14" s="118"/>
      <c r="KJO14" s="118"/>
      <c r="KJU14" s="118"/>
      <c r="KKA14" s="118"/>
      <c r="KKG14" s="118"/>
      <c r="KKM14" s="118"/>
      <c r="KKS14" s="118"/>
      <c r="KKY14" s="118"/>
      <c r="KLE14" s="118"/>
      <c r="KLK14" s="118"/>
      <c r="KLQ14" s="118"/>
      <c r="KLW14" s="118"/>
      <c r="KMC14" s="118"/>
      <c r="KMI14" s="118"/>
      <c r="KMO14" s="118"/>
      <c r="KMU14" s="118"/>
      <c r="KNA14" s="118"/>
      <c r="KNG14" s="118"/>
      <c r="KNM14" s="118"/>
      <c r="KNS14" s="118"/>
      <c r="KNY14" s="118"/>
      <c r="KOE14" s="118"/>
      <c r="KOK14" s="118"/>
      <c r="KOQ14" s="118"/>
      <c r="KOW14" s="118"/>
      <c r="KPC14" s="118"/>
      <c r="KPI14" s="118"/>
      <c r="KPO14" s="118"/>
      <c r="KPU14" s="118"/>
      <c r="KQA14" s="118"/>
      <c r="KQG14" s="118"/>
      <c r="KQM14" s="118"/>
      <c r="KQS14" s="118"/>
      <c r="KQY14" s="118"/>
      <c r="KRE14" s="118"/>
      <c r="KRK14" s="118"/>
      <c r="KRQ14" s="118"/>
      <c r="KRW14" s="118"/>
      <c r="KSC14" s="118"/>
      <c r="KSI14" s="118"/>
      <c r="KSO14" s="118"/>
      <c r="KSU14" s="118"/>
      <c r="KTA14" s="118"/>
      <c r="KTG14" s="118"/>
      <c r="KTM14" s="118"/>
      <c r="KTS14" s="118"/>
      <c r="KTY14" s="118"/>
      <c r="KUE14" s="118"/>
      <c r="KUK14" s="118"/>
      <c r="KUQ14" s="118"/>
      <c r="KUW14" s="118"/>
      <c r="KVC14" s="118"/>
      <c r="KVI14" s="118"/>
      <c r="KVO14" s="118"/>
      <c r="KVU14" s="118"/>
      <c r="KWA14" s="118"/>
      <c r="KWG14" s="118"/>
      <c r="KWM14" s="118"/>
      <c r="KWS14" s="118"/>
      <c r="KWY14" s="118"/>
      <c r="KXE14" s="118"/>
      <c r="KXK14" s="118"/>
      <c r="KXQ14" s="118"/>
      <c r="KXW14" s="118"/>
      <c r="KYC14" s="118"/>
      <c r="KYI14" s="118"/>
      <c r="KYO14" s="118"/>
      <c r="KYU14" s="118"/>
      <c r="KZA14" s="118"/>
      <c r="KZG14" s="118"/>
      <c r="KZM14" s="118"/>
      <c r="KZS14" s="118"/>
      <c r="KZY14" s="118"/>
      <c r="LAE14" s="118"/>
      <c r="LAK14" s="118"/>
      <c r="LAQ14" s="118"/>
      <c r="LAW14" s="118"/>
      <c r="LBC14" s="118"/>
      <c r="LBI14" s="118"/>
      <c r="LBO14" s="118"/>
      <c r="LBU14" s="118"/>
      <c r="LCA14" s="118"/>
      <c r="LCG14" s="118"/>
      <c r="LCM14" s="118"/>
      <c r="LCS14" s="118"/>
      <c r="LCY14" s="118"/>
      <c r="LDE14" s="118"/>
      <c r="LDK14" s="118"/>
      <c r="LDQ14" s="118"/>
      <c r="LDW14" s="118"/>
      <c r="LEC14" s="118"/>
      <c r="LEI14" s="118"/>
      <c r="LEO14" s="118"/>
      <c r="LEU14" s="118"/>
      <c r="LFA14" s="118"/>
      <c r="LFG14" s="118"/>
      <c r="LFM14" s="118"/>
      <c r="LFS14" s="118"/>
      <c r="LFY14" s="118"/>
      <c r="LGE14" s="118"/>
      <c r="LGK14" s="118"/>
      <c r="LGQ14" s="118"/>
      <c r="LGW14" s="118"/>
      <c r="LHC14" s="118"/>
      <c r="LHI14" s="118"/>
      <c r="LHO14" s="118"/>
      <c r="LHU14" s="118"/>
      <c r="LIA14" s="118"/>
      <c r="LIG14" s="118"/>
      <c r="LIM14" s="118"/>
      <c r="LIS14" s="118"/>
      <c r="LIY14" s="118"/>
      <c r="LJE14" s="118"/>
      <c r="LJK14" s="118"/>
      <c r="LJQ14" s="118"/>
      <c r="LJW14" s="118"/>
      <c r="LKC14" s="118"/>
      <c r="LKI14" s="118"/>
      <c r="LKO14" s="118"/>
      <c r="LKU14" s="118"/>
      <c r="LLA14" s="118"/>
      <c r="LLG14" s="118"/>
      <c r="LLM14" s="118"/>
      <c r="LLS14" s="118"/>
      <c r="LLY14" s="118"/>
      <c r="LME14" s="118"/>
      <c r="LMK14" s="118"/>
      <c r="LMQ14" s="118"/>
      <c r="LMW14" s="118"/>
      <c r="LNC14" s="118"/>
      <c r="LNI14" s="118"/>
      <c r="LNO14" s="118"/>
      <c r="LNU14" s="118"/>
      <c r="LOA14" s="118"/>
      <c r="LOG14" s="118"/>
      <c r="LOM14" s="118"/>
      <c r="LOS14" s="118"/>
      <c r="LOY14" s="118"/>
      <c r="LPE14" s="118"/>
      <c r="LPK14" s="118"/>
      <c r="LPQ14" s="118"/>
      <c r="LPW14" s="118"/>
      <c r="LQC14" s="118"/>
      <c r="LQI14" s="118"/>
      <c r="LQO14" s="118"/>
      <c r="LQU14" s="118"/>
      <c r="LRA14" s="118"/>
      <c r="LRG14" s="118"/>
      <c r="LRM14" s="118"/>
      <c r="LRS14" s="118"/>
      <c r="LRY14" s="118"/>
      <c r="LSE14" s="118"/>
      <c r="LSK14" s="118"/>
      <c r="LSQ14" s="118"/>
      <c r="LSW14" s="118"/>
      <c r="LTC14" s="118"/>
      <c r="LTI14" s="118"/>
      <c r="LTO14" s="118"/>
      <c r="LTU14" s="118"/>
      <c r="LUA14" s="118"/>
      <c r="LUG14" s="118"/>
      <c r="LUM14" s="118"/>
      <c r="LUS14" s="118"/>
      <c r="LUY14" s="118"/>
      <c r="LVE14" s="118"/>
      <c r="LVK14" s="118"/>
      <c r="LVQ14" s="118"/>
      <c r="LVW14" s="118"/>
      <c r="LWC14" s="118"/>
      <c r="LWI14" s="118"/>
      <c r="LWO14" s="118"/>
      <c r="LWU14" s="118"/>
      <c r="LXA14" s="118"/>
      <c r="LXG14" s="118"/>
      <c r="LXM14" s="118"/>
      <c r="LXS14" s="118"/>
      <c r="LXY14" s="118"/>
      <c r="LYE14" s="118"/>
      <c r="LYK14" s="118"/>
      <c r="LYQ14" s="118"/>
      <c r="LYW14" s="118"/>
      <c r="LZC14" s="118"/>
      <c r="LZI14" s="118"/>
      <c r="LZO14" s="118"/>
      <c r="LZU14" s="118"/>
      <c r="MAA14" s="118"/>
      <c r="MAG14" s="118"/>
      <c r="MAM14" s="118"/>
      <c r="MAS14" s="118"/>
      <c r="MAY14" s="118"/>
      <c r="MBE14" s="118"/>
      <c r="MBK14" s="118"/>
      <c r="MBQ14" s="118"/>
      <c r="MBW14" s="118"/>
      <c r="MCC14" s="118"/>
      <c r="MCI14" s="118"/>
      <c r="MCO14" s="118"/>
      <c r="MCU14" s="118"/>
      <c r="MDA14" s="118"/>
      <c r="MDG14" s="118"/>
      <c r="MDM14" s="118"/>
      <c r="MDS14" s="118"/>
      <c r="MDY14" s="118"/>
      <c r="MEE14" s="118"/>
      <c r="MEK14" s="118"/>
      <c r="MEQ14" s="118"/>
      <c r="MEW14" s="118"/>
      <c r="MFC14" s="118"/>
      <c r="MFI14" s="118"/>
      <c r="MFO14" s="118"/>
      <c r="MFU14" s="118"/>
      <c r="MGA14" s="118"/>
      <c r="MGG14" s="118"/>
      <c r="MGM14" s="118"/>
      <c r="MGS14" s="118"/>
      <c r="MGY14" s="118"/>
      <c r="MHE14" s="118"/>
      <c r="MHK14" s="118"/>
      <c r="MHQ14" s="118"/>
      <c r="MHW14" s="118"/>
      <c r="MIC14" s="118"/>
      <c r="MII14" s="118"/>
      <c r="MIO14" s="118"/>
      <c r="MIU14" s="118"/>
      <c r="MJA14" s="118"/>
      <c r="MJG14" s="118"/>
      <c r="MJM14" s="118"/>
      <c r="MJS14" s="118"/>
      <c r="MJY14" s="118"/>
      <c r="MKE14" s="118"/>
      <c r="MKK14" s="118"/>
      <c r="MKQ14" s="118"/>
      <c r="MKW14" s="118"/>
      <c r="MLC14" s="118"/>
      <c r="MLI14" s="118"/>
      <c r="MLO14" s="118"/>
      <c r="MLU14" s="118"/>
      <c r="MMA14" s="118"/>
      <c r="MMG14" s="118"/>
      <c r="MMM14" s="118"/>
      <c r="MMS14" s="118"/>
      <c r="MMY14" s="118"/>
      <c r="MNE14" s="118"/>
      <c r="MNK14" s="118"/>
      <c r="MNQ14" s="118"/>
      <c r="MNW14" s="118"/>
      <c r="MOC14" s="118"/>
      <c r="MOI14" s="118"/>
      <c r="MOO14" s="118"/>
      <c r="MOU14" s="118"/>
      <c r="MPA14" s="118"/>
      <c r="MPG14" s="118"/>
      <c r="MPM14" s="118"/>
      <c r="MPS14" s="118"/>
      <c r="MPY14" s="118"/>
      <c r="MQE14" s="118"/>
      <c r="MQK14" s="118"/>
      <c r="MQQ14" s="118"/>
      <c r="MQW14" s="118"/>
      <c r="MRC14" s="118"/>
      <c r="MRI14" s="118"/>
      <c r="MRO14" s="118"/>
      <c r="MRU14" s="118"/>
      <c r="MSA14" s="118"/>
      <c r="MSG14" s="118"/>
      <c r="MSM14" s="118"/>
      <c r="MSS14" s="118"/>
      <c r="MSY14" s="118"/>
      <c r="MTE14" s="118"/>
      <c r="MTK14" s="118"/>
      <c r="MTQ14" s="118"/>
      <c r="MTW14" s="118"/>
      <c r="MUC14" s="118"/>
      <c r="MUI14" s="118"/>
      <c r="MUO14" s="118"/>
      <c r="MUU14" s="118"/>
      <c r="MVA14" s="118"/>
      <c r="MVG14" s="118"/>
      <c r="MVM14" s="118"/>
      <c r="MVS14" s="118"/>
      <c r="MVY14" s="118"/>
      <c r="MWE14" s="118"/>
      <c r="MWK14" s="118"/>
      <c r="MWQ14" s="118"/>
      <c r="MWW14" s="118"/>
      <c r="MXC14" s="118"/>
      <c r="MXI14" s="118"/>
      <c r="MXO14" s="118"/>
      <c r="MXU14" s="118"/>
      <c r="MYA14" s="118"/>
      <c r="MYG14" s="118"/>
      <c r="MYM14" s="118"/>
      <c r="MYS14" s="118"/>
      <c r="MYY14" s="118"/>
      <c r="MZE14" s="118"/>
      <c r="MZK14" s="118"/>
      <c r="MZQ14" s="118"/>
      <c r="MZW14" s="118"/>
      <c r="NAC14" s="118"/>
      <c r="NAI14" s="118"/>
      <c r="NAO14" s="118"/>
      <c r="NAU14" s="118"/>
      <c r="NBA14" s="118"/>
      <c r="NBG14" s="118"/>
      <c r="NBM14" s="118"/>
      <c r="NBS14" s="118"/>
      <c r="NBY14" s="118"/>
      <c r="NCE14" s="118"/>
      <c r="NCK14" s="118"/>
      <c r="NCQ14" s="118"/>
      <c r="NCW14" s="118"/>
      <c r="NDC14" s="118"/>
      <c r="NDI14" s="118"/>
      <c r="NDO14" s="118"/>
      <c r="NDU14" s="118"/>
      <c r="NEA14" s="118"/>
      <c r="NEG14" s="118"/>
      <c r="NEM14" s="118"/>
      <c r="NES14" s="118"/>
      <c r="NEY14" s="118"/>
      <c r="NFE14" s="118"/>
      <c r="NFK14" s="118"/>
      <c r="NFQ14" s="118"/>
      <c r="NFW14" s="118"/>
      <c r="NGC14" s="118"/>
      <c r="NGI14" s="118"/>
      <c r="NGO14" s="118"/>
      <c r="NGU14" s="118"/>
      <c r="NHA14" s="118"/>
      <c r="NHG14" s="118"/>
      <c r="NHM14" s="118"/>
      <c r="NHS14" s="118"/>
      <c r="NHY14" s="118"/>
      <c r="NIE14" s="118"/>
      <c r="NIK14" s="118"/>
      <c r="NIQ14" s="118"/>
      <c r="NIW14" s="118"/>
      <c r="NJC14" s="118"/>
      <c r="NJI14" s="118"/>
      <c r="NJO14" s="118"/>
      <c r="NJU14" s="118"/>
      <c r="NKA14" s="118"/>
      <c r="NKG14" s="118"/>
      <c r="NKM14" s="118"/>
      <c r="NKS14" s="118"/>
      <c r="NKY14" s="118"/>
      <c r="NLE14" s="118"/>
      <c r="NLK14" s="118"/>
      <c r="NLQ14" s="118"/>
      <c r="NLW14" s="118"/>
      <c r="NMC14" s="118"/>
      <c r="NMI14" s="118"/>
      <c r="NMO14" s="118"/>
      <c r="NMU14" s="118"/>
      <c r="NNA14" s="118"/>
      <c r="NNG14" s="118"/>
      <c r="NNM14" s="118"/>
      <c r="NNS14" s="118"/>
      <c r="NNY14" s="118"/>
      <c r="NOE14" s="118"/>
      <c r="NOK14" s="118"/>
      <c r="NOQ14" s="118"/>
      <c r="NOW14" s="118"/>
      <c r="NPC14" s="118"/>
      <c r="NPI14" s="118"/>
      <c r="NPO14" s="118"/>
      <c r="NPU14" s="118"/>
      <c r="NQA14" s="118"/>
      <c r="NQG14" s="118"/>
      <c r="NQM14" s="118"/>
      <c r="NQS14" s="118"/>
      <c r="NQY14" s="118"/>
      <c r="NRE14" s="118"/>
      <c r="NRK14" s="118"/>
      <c r="NRQ14" s="118"/>
      <c r="NRW14" s="118"/>
      <c r="NSC14" s="118"/>
      <c r="NSI14" s="118"/>
      <c r="NSO14" s="118"/>
      <c r="NSU14" s="118"/>
      <c r="NTA14" s="118"/>
      <c r="NTG14" s="118"/>
      <c r="NTM14" s="118"/>
      <c r="NTS14" s="118"/>
      <c r="NTY14" s="118"/>
      <c r="NUE14" s="118"/>
      <c r="NUK14" s="118"/>
      <c r="NUQ14" s="118"/>
      <c r="NUW14" s="118"/>
      <c r="NVC14" s="118"/>
      <c r="NVI14" s="118"/>
      <c r="NVO14" s="118"/>
      <c r="NVU14" s="118"/>
      <c r="NWA14" s="118"/>
      <c r="NWG14" s="118"/>
      <c r="NWM14" s="118"/>
      <c r="NWS14" s="118"/>
      <c r="NWY14" s="118"/>
      <c r="NXE14" s="118"/>
      <c r="NXK14" s="118"/>
      <c r="NXQ14" s="118"/>
      <c r="NXW14" s="118"/>
      <c r="NYC14" s="118"/>
      <c r="NYI14" s="118"/>
      <c r="NYO14" s="118"/>
      <c r="NYU14" s="118"/>
      <c r="NZA14" s="118"/>
      <c r="NZG14" s="118"/>
      <c r="NZM14" s="118"/>
      <c r="NZS14" s="118"/>
      <c r="NZY14" s="118"/>
      <c r="OAE14" s="118"/>
      <c r="OAK14" s="118"/>
      <c r="OAQ14" s="118"/>
      <c r="OAW14" s="118"/>
      <c r="OBC14" s="118"/>
      <c r="OBI14" s="118"/>
      <c r="OBO14" s="118"/>
      <c r="OBU14" s="118"/>
      <c r="OCA14" s="118"/>
      <c r="OCG14" s="118"/>
      <c r="OCM14" s="118"/>
      <c r="OCS14" s="118"/>
      <c r="OCY14" s="118"/>
      <c r="ODE14" s="118"/>
      <c r="ODK14" s="118"/>
      <c r="ODQ14" s="118"/>
      <c r="ODW14" s="118"/>
      <c r="OEC14" s="118"/>
      <c r="OEI14" s="118"/>
      <c r="OEO14" s="118"/>
      <c r="OEU14" s="118"/>
      <c r="OFA14" s="118"/>
      <c r="OFG14" s="118"/>
      <c r="OFM14" s="118"/>
      <c r="OFS14" s="118"/>
      <c r="OFY14" s="118"/>
      <c r="OGE14" s="118"/>
      <c r="OGK14" s="118"/>
      <c r="OGQ14" s="118"/>
      <c r="OGW14" s="118"/>
      <c r="OHC14" s="118"/>
      <c r="OHI14" s="118"/>
      <c r="OHO14" s="118"/>
      <c r="OHU14" s="118"/>
      <c r="OIA14" s="118"/>
      <c r="OIG14" s="118"/>
      <c r="OIM14" s="118"/>
      <c r="OIS14" s="118"/>
      <c r="OIY14" s="118"/>
      <c r="OJE14" s="118"/>
      <c r="OJK14" s="118"/>
      <c r="OJQ14" s="118"/>
      <c r="OJW14" s="118"/>
      <c r="OKC14" s="118"/>
      <c r="OKI14" s="118"/>
      <c r="OKO14" s="118"/>
      <c r="OKU14" s="118"/>
      <c r="OLA14" s="118"/>
      <c r="OLG14" s="118"/>
      <c r="OLM14" s="118"/>
      <c r="OLS14" s="118"/>
      <c r="OLY14" s="118"/>
      <c r="OME14" s="118"/>
      <c r="OMK14" s="118"/>
      <c r="OMQ14" s="118"/>
      <c r="OMW14" s="118"/>
      <c r="ONC14" s="118"/>
      <c r="ONI14" s="118"/>
      <c r="ONO14" s="118"/>
      <c r="ONU14" s="118"/>
      <c r="OOA14" s="118"/>
      <c r="OOG14" s="118"/>
      <c r="OOM14" s="118"/>
      <c r="OOS14" s="118"/>
      <c r="OOY14" s="118"/>
      <c r="OPE14" s="118"/>
      <c r="OPK14" s="118"/>
      <c r="OPQ14" s="118"/>
      <c r="OPW14" s="118"/>
      <c r="OQC14" s="118"/>
      <c r="OQI14" s="118"/>
      <c r="OQO14" s="118"/>
      <c r="OQU14" s="118"/>
      <c r="ORA14" s="118"/>
      <c r="ORG14" s="118"/>
      <c r="ORM14" s="118"/>
      <c r="ORS14" s="118"/>
      <c r="ORY14" s="118"/>
      <c r="OSE14" s="118"/>
      <c r="OSK14" s="118"/>
      <c r="OSQ14" s="118"/>
      <c r="OSW14" s="118"/>
      <c r="OTC14" s="118"/>
      <c r="OTI14" s="118"/>
      <c r="OTO14" s="118"/>
      <c r="OTU14" s="118"/>
      <c r="OUA14" s="118"/>
      <c r="OUG14" s="118"/>
      <c r="OUM14" s="118"/>
      <c r="OUS14" s="118"/>
      <c r="OUY14" s="118"/>
      <c r="OVE14" s="118"/>
      <c r="OVK14" s="118"/>
      <c r="OVQ14" s="118"/>
      <c r="OVW14" s="118"/>
      <c r="OWC14" s="118"/>
      <c r="OWI14" s="118"/>
      <c r="OWO14" s="118"/>
      <c r="OWU14" s="118"/>
      <c r="OXA14" s="118"/>
      <c r="OXG14" s="118"/>
      <c r="OXM14" s="118"/>
      <c r="OXS14" s="118"/>
      <c r="OXY14" s="118"/>
      <c r="OYE14" s="118"/>
      <c r="OYK14" s="118"/>
      <c r="OYQ14" s="118"/>
      <c r="OYW14" s="118"/>
      <c r="OZC14" s="118"/>
      <c r="OZI14" s="118"/>
      <c r="OZO14" s="118"/>
      <c r="OZU14" s="118"/>
      <c r="PAA14" s="118"/>
      <c r="PAG14" s="118"/>
      <c r="PAM14" s="118"/>
      <c r="PAS14" s="118"/>
      <c r="PAY14" s="118"/>
      <c r="PBE14" s="118"/>
      <c r="PBK14" s="118"/>
      <c r="PBQ14" s="118"/>
      <c r="PBW14" s="118"/>
      <c r="PCC14" s="118"/>
      <c r="PCI14" s="118"/>
      <c r="PCO14" s="118"/>
      <c r="PCU14" s="118"/>
      <c r="PDA14" s="118"/>
      <c r="PDG14" s="118"/>
      <c r="PDM14" s="118"/>
      <c r="PDS14" s="118"/>
      <c r="PDY14" s="118"/>
      <c r="PEE14" s="118"/>
      <c r="PEK14" s="118"/>
      <c r="PEQ14" s="118"/>
      <c r="PEW14" s="118"/>
      <c r="PFC14" s="118"/>
      <c r="PFI14" s="118"/>
      <c r="PFO14" s="118"/>
      <c r="PFU14" s="118"/>
      <c r="PGA14" s="118"/>
      <c r="PGG14" s="118"/>
      <c r="PGM14" s="118"/>
      <c r="PGS14" s="118"/>
      <c r="PGY14" s="118"/>
      <c r="PHE14" s="118"/>
      <c r="PHK14" s="118"/>
      <c r="PHQ14" s="118"/>
      <c r="PHW14" s="118"/>
      <c r="PIC14" s="118"/>
      <c r="PII14" s="118"/>
      <c r="PIO14" s="118"/>
      <c r="PIU14" s="118"/>
      <c r="PJA14" s="118"/>
      <c r="PJG14" s="118"/>
      <c r="PJM14" s="118"/>
      <c r="PJS14" s="118"/>
      <c r="PJY14" s="118"/>
      <c r="PKE14" s="118"/>
      <c r="PKK14" s="118"/>
      <c r="PKQ14" s="118"/>
      <c r="PKW14" s="118"/>
      <c r="PLC14" s="118"/>
      <c r="PLI14" s="118"/>
      <c r="PLO14" s="118"/>
      <c r="PLU14" s="118"/>
      <c r="PMA14" s="118"/>
      <c r="PMG14" s="118"/>
      <c r="PMM14" s="118"/>
      <c r="PMS14" s="118"/>
      <c r="PMY14" s="118"/>
      <c r="PNE14" s="118"/>
      <c r="PNK14" s="118"/>
      <c r="PNQ14" s="118"/>
      <c r="PNW14" s="118"/>
      <c r="POC14" s="118"/>
      <c r="POI14" s="118"/>
      <c r="POO14" s="118"/>
      <c r="POU14" s="118"/>
      <c r="PPA14" s="118"/>
      <c r="PPG14" s="118"/>
      <c r="PPM14" s="118"/>
      <c r="PPS14" s="118"/>
      <c r="PPY14" s="118"/>
      <c r="PQE14" s="118"/>
      <c r="PQK14" s="118"/>
      <c r="PQQ14" s="118"/>
      <c r="PQW14" s="118"/>
      <c r="PRC14" s="118"/>
      <c r="PRI14" s="118"/>
      <c r="PRO14" s="118"/>
      <c r="PRU14" s="118"/>
      <c r="PSA14" s="118"/>
      <c r="PSG14" s="118"/>
      <c r="PSM14" s="118"/>
      <c r="PSS14" s="118"/>
      <c r="PSY14" s="118"/>
      <c r="PTE14" s="118"/>
      <c r="PTK14" s="118"/>
      <c r="PTQ14" s="118"/>
      <c r="PTW14" s="118"/>
      <c r="PUC14" s="118"/>
      <c r="PUI14" s="118"/>
      <c r="PUO14" s="118"/>
      <c r="PUU14" s="118"/>
      <c r="PVA14" s="118"/>
      <c r="PVG14" s="118"/>
      <c r="PVM14" s="118"/>
      <c r="PVS14" s="118"/>
      <c r="PVY14" s="118"/>
      <c r="PWE14" s="118"/>
      <c r="PWK14" s="118"/>
      <c r="PWQ14" s="118"/>
      <c r="PWW14" s="118"/>
      <c r="PXC14" s="118"/>
      <c r="PXI14" s="118"/>
      <c r="PXO14" s="118"/>
      <c r="PXU14" s="118"/>
      <c r="PYA14" s="118"/>
      <c r="PYG14" s="118"/>
      <c r="PYM14" s="118"/>
      <c r="PYS14" s="118"/>
      <c r="PYY14" s="118"/>
      <c r="PZE14" s="118"/>
      <c r="PZK14" s="118"/>
      <c r="PZQ14" s="118"/>
      <c r="PZW14" s="118"/>
      <c r="QAC14" s="118"/>
      <c r="QAI14" s="118"/>
      <c r="QAO14" s="118"/>
      <c r="QAU14" s="118"/>
      <c r="QBA14" s="118"/>
      <c r="QBG14" s="118"/>
      <c r="QBM14" s="118"/>
      <c r="QBS14" s="118"/>
      <c r="QBY14" s="118"/>
      <c r="QCE14" s="118"/>
      <c r="QCK14" s="118"/>
      <c r="QCQ14" s="118"/>
      <c r="QCW14" s="118"/>
      <c r="QDC14" s="118"/>
      <c r="QDI14" s="118"/>
      <c r="QDO14" s="118"/>
      <c r="QDU14" s="118"/>
      <c r="QEA14" s="118"/>
      <c r="QEG14" s="118"/>
      <c r="QEM14" s="118"/>
      <c r="QES14" s="118"/>
      <c r="QEY14" s="118"/>
      <c r="QFE14" s="118"/>
      <c r="QFK14" s="118"/>
      <c r="QFQ14" s="118"/>
      <c r="QFW14" s="118"/>
      <c r="QGC14" s="118"/>
      <c r="QGI14" s="118"/>
      <c r="QGO14" s="118"/>
      <c r="QGU14" s="118"/>
      <c r="QHA14" s="118"/>
      <c r="QHG14" s="118"/>
      <c r="QHM14" s="118"/>
      <c r="QHS14" s="118"/>
      <c r="QHY14" s="118"/>
      <c r="QIE14" s="118"/>
      <c r="QIK14" s="118"/>
      <c r="QIQ14" s="118"/>
      <c r="QIW14" s="118"/>
      <c r="QJC14" s="118"/>
      <c r="QJI14" s="118"/>
      <c r="QJO14" s="118"/>
      <c r="QJU14" s="118"/>
      <c r="QKA14" s="118"/>
      <c r="QKG14" s="118"/>
      <c r="QKM14" s="118"/>
      <c r="QKS14" s="118"/>
      <c r="QKY14" s="118"/>
      <c r="QLE14" s="118"/>
      <c r="QLK14" s="118"/>
      <c r="QLQ14" s="118"/>
      <c r="QLW14" s="118"/>
      <c r="QMC14" s="118"/>
      <c r="QMI14" s="118"/>
      <c r="QMO14" s="118"/>
      <c r="QMU14" s="118"/>
      <c r="QNA14" s="118"/>
      <c r="QNG14" s="118"/>
      <c r="QNM14" s="118"/>
      <c r="QNS14" s="118"/>
      <c r="QNY14" s="118"/>
      <c r="QOE14" s="118"/>
      <c r="QOK14" s="118"/>
      <c r="QOQ14" s="118"/>
      <c r="QOW14" s="118"/>
      <c r="QPC14" s="118"/>
      <c r="QPI14" s="118"/>
      <c r="QPO14" s="118"/>
      <c r="QPU14" s="118"/>
      <c r="QQA14" s="118"/>
      <c r="QQG14" s="118"/>
      <c r="QQM14" s="118"/>
      <c r="QQS14" s="118"/>
      <c r="QQY14" s="118"/>
      <c r="QRE14" s="118"/>
      <c r="QRK14" s="118"/>
      <c r="QRQ14" s="118"/>
      <c r="QRW14" s="118"/>
      <c r="QSC14" s="118"/>
      <c r="QSI14" s="118"/>
      <c r="QSO14" s="118"/>
      <c r="QSU14" s="118"/>
      <c r="QTA14" s="118"/>
      <c r="QTG14" s="118"/>
      <c r="QTM14" s="118"/>
      <c r="QTS14" s="118"/>
      <c r="QTY14" s="118"/>
      <c r="QUE14" s="118"/>
      <c r="QUK14" s="118"/>
      <c r="QUQ14" s="118"/>
      <c r="QUW14" s="118"/>
      <c r="QVC14" s="118"/>
      <c r="QVI14" s="118"/>
      <c r="QVO14" s="118"/>
      <c r="QVU14" s="118"/>
      <c r="QWA14" s="118"/>
      <c r="QWG14" s="118"/>
      <c r="QWM14" s="118"/>
      <c r="QWS14" s="118"/>
      <c r="QWY14" s="118"/>
      <c r="QXE14" s="118"/>
      <c r="QXK14" s="118"/>
      <c r="QXQ14" s="118"/>
      <c r="QXW14" s="118"/>
      <c r="QYC14" s="118"/>
      <c r="QYI14" s="118"/>
      <c r="QYO14" s="118"/>
      <c r="QYU14" s="118"/>
      <c r="QZA14" s="118"/>
      <c r="QZG14" s="118"/>
      <c r="QZM14" s="118"/>
      <c r="QZS14" s="118"/>
      <c r="QZY14" s="118"/>
      <c r="RAE14" s="118"/>
      <c r="RAK14" s="118"/>
      <c r="RAQ14" s="118"/>
      <c r="RAW14" s="118"/>
      <c r="RBC14" s="118"/>
      <c r="RBI14" s="118"/>
      <c r="RBO14" s="118"/>
      <c r="RBU14" s="118"/>
      <c r="RCA14" s="118"/>
      <c r="RCG14" s="118"/>
      <c r="RCM14" s="118"/>
      <c r="RCS14" s="118"/>
      <c r="RCY14" s="118"/>
      <c r="RDE14" s="118"/>
      <c r="RDK14" s="118"/>
      <c r="RDQ14" s="118"/>
      <c r="RDW14" s="118"/>
      <c r="REC14" s="118"/>
      <c r="REI14" s="118"/>
      <c r="REO14" s="118"/>
      <c r="REU14" s="118"/>
      <c r="RFA14" s="118"/>
      <c r="RFG14" s="118"/>
      <c r="RFM14" s="118"/>
      <c r="RFS14" s="118"/>
      <c r="RFY14" s="118"/>
      <c r="RGE14" s="118"/>
      <c r="RGK14" s="118"/>
      <c r="RGQ14" s="118"/>
      <c r="RGW14" s="118"/>
      <c r="RHC14" s="118"/>
      <c r="RHI14" s="118"/>
      <c r="RHO14" s="118"/>
      <c r="RHU14" s="118"/>
      <c r="RIA14" s="118"/>
      <c r="RIG14" s="118"/>
      <c r="RIM14" s="118"/>
      <c r="RIS14" s="118"/>
      <c r="RIY14" s="118"/>
      <c r="RJE14" s="118"/>
      <c r="RJK14" s="118"/>
      <c r="RJQ14" s="118"/>
      <c r="RJW14" s="118"/>
      <c r="RKC14" s="118"/>
      <c r="RKI14" s="118"/>
      <c r="RKO14" s="118"/>
      <c r="RKU14" s="118"/>
      <c r="RLA14" s="118"/>
      <c r="RLG14" s="118"/>
      <c r="RLM14" s="118"/>
      <c r="RLS14" s="118"/>
      <c r="RLY14" s="118"/>
      <c r="RME14" s="118"/>
      <c r="RMK14" s="118"/>
      <c r="RMQ14" s="118"/>
      <c r="RMW14" s="118"/>
      <c r="RNC14" s="118"/>
      <c r="RNI14" s="118"/>
      <c r="RNO14" s="118"/>
      <c r="RNU14" s="118"/>
      <c r="ROA14" s="118"/>
      <c r="ROG14" s="118"/>
      <c r="ROM14" s="118"/>
      <c r="ROS14" s="118"/>
      <c r="ROY14" s="118"/>
      <c r="RPE14" s="118"/>
      <c r="RPK14" s="118"/>
      <c r="RPQ14" s="118"/>
      <c r="RPW14" s="118"/>
      <c r="RQC14" s="118"/>
      <c r="RQI14" s="118"/>
      <c r="RQO14" s="118"/>
      <c r="RQU14" s="118"/>
      <c r="RRA14" s="118"/>
      <c r="RRG14" s="118"/>
      <c r="RRM14" s="118"/>
      <c r="RRS14" s="118"/>
      <c r="RRY14" s="118"/>
      <c r="RSE14" s="118"/>
      <c r="RSK14" s="118"/>
      <c r="RSQ14" s="118"/>
      <c r="RSW14" s="118"/>
      <c r="RTC14" s="118"/>
      <c r="RTI14" s="118"/>
      <c r="RTO14" s="118"/>
      <c r="RTU14" s="118"/>
      <c r="RUA14" s="118"/>
      <c r="RUG14" s="118"/>
      <c r="RUM14" s="118"/>
      <c r="RUS14" s="118"/>
      <c r="RUY14" s="118"/>
      <c r="RVE14" s="118"/>
      <c r="RVK14" s="118"/>
      <c r="RVQ14" s="118"/>
      <c r="RVW14" s="118"/>
      <c r="RWC14" s="118"/>
      <c r="RWI14" s="118"/>
      <c r="RWO14" s="118"/>
      <c r="RWU14" s="118"/>
      <c r="RXA14" s="118"/>
      <c r="RXG14" s="118"/>
      <c r="RXM14" s="118"/>
      <c r="RXS14" s="118"/>
      <c r="RXY14" s="118"/>
      <c r="RYE14" s="118"/>
      <c r="RYK14" s="118"/>
      <c r="RYQ14" s="118"/>
      <c r="RYW14" s="118"/>
      <c r="RZC14" s="118"/>
      <c r="RZI14" s="118"/>
      <c r="RZO14" s="118"/>
      <c r="RZU14" s="118"/>
      <c r="SAA14" s="118"/>
      <c r="SAG14" s="118"/>
      <c r="SAM14" s="118"/>
      <c r="SAS14" s="118"/>
      <c r="SAY14" s="118"/>
      <c r="SBE14" s="118"/>
      <c r="SBK14" s="118"/>
      <c r="SBQ14" s="118"/>
      <c r="SBW14" s="118"/>
      <c r="SCC14" s="118"/>
      <c r="SCI14" s="118"/>
      <c r="SCO14" s="118"/>
      <c r="SCU14" s="118"/>
      <c r="SDA14" s="118"/>
      <c r="SDG14" s="118"/>
      <c r="SDM14" s="118"/>
      <c r="SDS14" s="118"/>
      <c r="SDY14" s="118"/>
      <c r="SEE14" s="118"/>
      <c r="SEK14" s="118"/>
      <c r="SEQ14" s="118"/>
      <c r="SEW14" s="118"/>
      <c r="SFC14" s="118"/>
      <c r="SFI14" s="118"/>
      <c r="SFO14" s="118"/>
      <c r="SFU14" s="118"/>
      <c r="SGA14" s="118"/>
      <c r="SGG14" s="118"/>
      <c r="SGM14" s="118"/>
      <c r="SGS14" s="118"/>
      <c r="SGY14" s="118"/>
      <c r="SHE14" s="118"/>
      <c r="SHK14" s="118"/>
      <c r="SHQ14" s="118"/>
      <c r="SHW14" s="118"/>
      <c r="SIC14" s="118"/>
      <c r="SII14" s="118"/>
      <c r="SIO14" s="118"/>
      <c r="SIU14" s="118"/>
      <c r="SJA14" s="118"/>
      <c r="SJG14" s="118"/>
      <c r="SJM14" s="118"/>
      <c r="SJS14" s="118"/>
      <c r="SJY14" s="118"/>
      <c r="SKE14" s="118"/>
      <c r="SKK14" s="118"/>
      <c r="SKQ14" s="118"/>
      <c r="SKW14" s="118"/>
      <c r="SLC14" s="118"/>
      <c r="SLI14" s="118"/>
      <c r="SLO14" s="118"/>
      <c r="SLU14" s="118"/>
      <c r="SMA14" s="118"/>
      <c r="SMG14" s="118"/>
      <c r="SMM14" s="118"/>
      <c r="SMS14" s="118"/>
      <c r="SMY14" s="118"/>
      <c r="SNE14" s="118"/>
      <c r="SNK14" s="118"/>
      <c r="SNQ14" s="118"/>
      <c r="SNW14" s="118"/>
      <c r="SOC14" s="118"/>
      <c r="SOI14" s="118"/>
      <c r="SOO14" s="118"/>
      <c r="SOU14" s="118"/>
      <c r="SPA14" s="118"/>
      <c r="SPG14" s="118"/>
      <c r="SPM14" s="118"/>
      <c r="SPS14" s="118"/>
      <c r="SPY14" s="118"/>
      <c r="SQE14" s="118"/>
      <c r="SQK14" s="118"/>
      <c r="SQQ14" s="118"/>
      <c r="SQW14" s="118"/>
      <c r="SRC14" s="118"/>
      <c r="SRI14" s="118"/>
      <c r="SRO14" s="118"/>
      <c r="SRU14" s="118"/>
      <c r="SSA14" s="118"/>
      <c r="SSG14" s="118"/>
      <c r="SSM14" s="118"/>
      <c r="SSS14" s="118"/>
      <c r="SSY14" s="118"/>
      <c r="STE14" s="118"/>
      <c r="STK14" s="118"/>
      <c r="STQ14" s="118"/>
      <c r="STW14" s="118"/>
      <c r="SUC14" s="118"/>
      <c r="SUI14" s="118"/>
      <c r="SUO14" s="118"/>
      <c r="SUU14" s="118"/>
      <c r="SVA14" s="118"/>
      <c r="SVG14" s="118"/>
      <c r="SVM14" s="118"/>
      <c r="SVS14" s="118"/>
      <c r="SVY14" s="118"/>
      <c r="SWE14" s="118"/>
      <c r="SWK14" s="118"/>
      <c r="SWQ14" s="118"/>
      <c r="SWW14" s="118"/>
      <c r="SXC14" s="118"/>
      <c r="SXI14" s="118"/>
      <c r="SXO14" s="118"/>
      <c r="SXU14" s="118"/>
      <c r="SYA14" s="118"/>
      <c r="SYG14" s="118"/>
      <c r="SYM14" s="118"/>
      <c r="SYS14" s="118"/>
      <c r="SYY14" s="118"/>
      <c r="SZE14" s="118"/>
      <c r="SZK14" s="118"/>
      <c r="SZQ14" s="118"/>
      <c r="SZW14" s="118"/>
      <c r="TAC14" s="118"/>
      <c r="TAI14" s="118"/>
      <c r="TAO14" s="118"/>
      <c r="TAU14" s="118"/>
      <c r="TBA14" s="118"/>
      <c r="TBG14" s="118"/>
      <c r="TBM14" s="118"/>
      <c r="TBS14" s="118"/>
      <c r="TBY14" s="118"/>
      <c r="TCE14" s="118"/>
      <c r="TCK14" s="118"/>
      <c r="TCQ14" s="118"/>
      <c r="TCW14" s="118"/>
      <c r="TDC14" s="118"/>
      <c r="TDI14" s="118"/>
      <c r="TDO14" s="118"/>
      <c r="TDU14" s="118"/>
      <c r="TEA14" s="118"/>
      <c r="TEG14" s="118"/>
      <c r="TEM14" s="118"/>
      <c r="TES14" s="118"/>
      <c r="TEY14" s="118"/>
      <c r="TFE14" s="118"/>
      <c r="TFK14" s="118"/>
      <c r="TFQ14" s="118"/>
      <c r="TFW14" s="118"/>
      <c r="TGC14" s="118"/>
      <c r="TGI14" s="118"/>
      <c r="TGO14" s="118"/>
      <c r="TGU14" s="118"/>
      <c r="THA14" s="118"/>
      <c r="THG14" s="118"/>
      <c r="THM14" s="118"/>
      <c r="THS14" s="118"/>
      <c r="THY14" s="118"/>
      <c r="TIE14" s="118"/>
      <c r="TIK14" s="118"/>
      <c r="TIQ14" s="118"/>
      <c r="TIW14" s="118"/>
      <c r="TJC14" s="118"/>
      <c r="TJI14" s="118"/>
      <c r="TJO14" s="118"/>
      <c r="TJU14" s="118"/>
      <c r="TKA14" s="118"/>
      <c r="TKG14" s="118"/>
      <c r="TKM14" s="118"/>
      <c r="TKS14" s="118"/>
      <c r="TKY14" s="118"/>
      <c r="TLE14" s="118"/>
      <c r="TLK14" s="118"/>
      <c r="TLQ14" s="118"/>
      <c r="TLW14" s="118"/>
      <c r="TMC14" s="118"/>
      <c r="TMI14" s="118"/>
      <c r="TMO14" s="118"/>
      <c r="TMU14" s="118"/>
      <c r="TNA14" s="118"/>
      <c r="TNG14" s="118"/>
      <c r="TNM14" s="118"/>
      <c r="TNS14" s="118"/>
      <c r="TNY14" s="118"/>
      <c r="TOE14" s="118"/>
      <c r="TOK14" s="118"/>
      <c r="TOQ14" s="118"/>
      <c r="TOW14" s="118"/>
      <c r="TPC14" s="118"/>
      <c r="TPI14" s="118"/>
      <c r="TPO14" s="118"/>
      <c r="TPU14" s="118"/>
      <c r="TQA14" s="118"/>
      <c r="TQG14" s="118"/>
      <c r="TQM14" s="118"/>
      <c r="TQS14" s="118"/>
      <c r="TQY14" s="118"/>
      <c r="TRE14" s="118"/>
      <c r="TRK14" s="118"/>
      <c r="TRQ14" s="118"/>
      <c r="TRW14" s="118"/>
      <c r="TSC14" s="118"/>
      <c r="TSI14" s="118"/>
      <c r="TSO14" s="118"/>
      <c r="TSU14" s="118"/>
      <c r="TTA14" s="118"/>
      <c r="TTG14" s="118"/>
      <c r="TTM14" s="118"/>
      <c r="TTS14" s="118"/>
      <c r="TTY14" s="118"/>
      <c r="TUE14" s="118"/>
      <c r="TUK14" s="118"/>
      <c r="TUQ14" s="118"/>
      <c r="TUW14" s="118"/>
      <c r="TVC14" s="118"/>
      <c r="TVI14" s="118"/>
      <c r="TVO14" s="118"/>
      <c r="TVU14" s="118"/>
      <c r="TWA14" s="118"/>
      <c r="TWG14" s="118"/>
      <c r="TWM14" s="118"/>
      <c r="TWS14" s="118"/>
      <c r="TWY14" s="118"/>
      <c r="TXE14" s="118"/>
      <c r="TXK14" s="118"/>
      <c r="TXQ14" s="118"/>
      <c r="TXW14" s="118"/>
      <c r="TYC14" s="118"/>
      <c r="TYI14" s="118"/>
      <c r="TYO14" s="118"/>
      <c r="TYU14" s="118"/>
      <c r="TZA14" s="118"/>
      <c r="TZG14" s="118"/>
      <c r="TZM14" s="118"/>
      <c r="TZS14" s="118"/>
      <c r="TZY14" s="118"/>
      <c r="UAE14" s="118"/>
      <c r="UAK14" s="118"/>
      <c r="UAQ14" s="118"/>
      <c r="UAW14" s="118"/>
      <c r="UBC14" s="118"/>
      <c r="UBI14" s="118"/>
      <c r="UBO14" s="118"/>
      <c r="UBU14" s="118"/>
      <c r="UCA14" s="118"/>
      <c r="UCG14" s="118"/>
      <c r="UCM14" s="118"/>
      <c r="UCS14" s="118"/>
      <c r="UCY14" s="118"/>
      <c r="UDE14" s="118"/>
      <c r="UDK14" s="118"/>
      <c r="UDQ14" s="118"/>
      <c r="UDW14" s="118"/>
      <c r="UEC14" s="118"/>
      <c r="UEI14" s="118"/>
      <c r="UEO14" s="118"/>
      <c r="UEU14" s="118"/>
      <c r="UFA14" s="118"/>
      <c r="UFG14" s="118"/>
      <c r="UFM14" s="118"/>
      <c r="UFS14" s="118"/>
      <c r="UFY14" s="118"/>
      <c r="UGE14" s="118"/>
      <c r="UGK14" s="118"/>
      <c r="UGQ14" s="118"/>
      <c r="UGW14" s="118"/>
      <c r="UHC14" s="118"/>
      <c r="UHI14" s="118"/>
      <c r="UHO14" s="118"/>
      <c r="UHU14" s="118"/>
      <c r="UIA14" s="118"/>
      <c r="UIG14" s="118"/>
      <c r="UIM14" s="118"/>
      <c r="UIS14" s="118"/>
      <c r="UIY14" s="118"/>
      <c r="UJE14" s="118"/>
      <c r="UJK14" s="118"/>
      <c r="UJQ14" s="118"/>
      <c r="UJW14" s="118"/>
      <c r="UKC14" s="118"/>
      <c r="UKI14" s="118"/>
      <c r="UKO14" s="118"/>
      <c r="UKU14" s="118"/>
      <c r="ULA14" s="118"/>
      <c r="ULG14" s="118"/>
      <c r="ULM14" s="118"/>
      <c r="ULS14" s="118"/>
      <c r="ULY14" s="118"/>
      <c r="UME14" s="118"/>
      <c r="UMK14" s="118"/>
      <c r="UMQ14" s="118"/>
      <c r="UMW14" s="118"/>
      <c r="UNC14" s="118"/>
      <c r="UNI14" s="118"/>
      <c r="UNO14" s="118"/>
      <c r="UNU14" s="118"/>
      <c r="UOA14" s="118"/>
      <c r="UOG14" s="118"/>
      <c r="UOM14" s="118"/>
      <c r="UOS14" s="118"/>
      <c r="UOY14" s="118"/>
      <c r="UPE14" s="118"/>
      <c r="UPK14" s="118"/>
      <c r="UPQ14" s="118"/>
      <c r="UPW14" s="118"/>
      <c r="UQC14" s="118"/>
      <c r="UQI14" s="118"/>
      <c r="UQO14" s="118"/>
      <c r="UQU14" s="118"/>
      <c r="URA14" s="118"/>
      <c r="URG14" s="118"/>
      <c r="URM14" s="118"/>
      <c r="URS14" s="118"/>
      <c r="URY14" s="118"/>
      <c r="USE14" s="118"/>
      <c r="USK14" s="118"/>
      <c r="USQ14" s="118"/>
      <c r="USW14" s="118"/>
      <c r="UTC14" s="118"/>
      <c r="UTI14" s="118"/>
      <c r="UTO14" s="118"/>
      <c r="UTU14" s="118"/>
      <c r="UUA14" s="118"/>
      <c r="UUG14" s="118"/>
      <c r="UUM14" s="118"/>
      <c r="UUS14" s="118"/>
      <c r="UUY14" s="118"/>
      <c r="UVE14" s="118"/>
      <c r="UVK14" s="118"/>
      <c r="UVQ14" s="118"/>
      <c r="UVW14" s="118"/>
      <c r="UWC14" s="118"/>
      <c r="UWI14" s="118"/>
      <c r="UWO14" s="118"/>
      <c r="UWU14" s="118"/>
      <c r="UXA14" s="118"/>
      <c r="UXG14" s="118"/>
      <c r="UXM14" s="118"/>
      <c r="UXS14" s="118"/>
      <c r="UXY14" s="118"/>
      <c r="UYE14" s="118"/>
      <c r="UYK14" s="118"/>
      <c r="UYQ14" s="118"/>
      <c r="UYW14" s="118"/>
      <c r="UZC14" s="118"/>
      <c r="UZI14" s="118"/>
      <c r="UZO14" s="118"/>
      <c r="UZU14" s="118"/>
      <c r="VAA14" s="118"/>
      <c r="VAG14" s="118"/>
      <c r="VAM14" s="118"/>
      <c r="VAS14" s="118"/>
      <c r="VAY14" s="118"/>
      <c r="VBE14" s="118"/>
      <c r="VBK14" s="118"/>
      <c r="VBQ14" s="118"/>
      <c r="VBW14" s="118"/>
      <c r="VCC14" s="118"/>
      <c r="VCI14" s="118"/>
      <c r="VCO14" s="118"/>
      <c r="VCU14" s="118"/>
      <c r="VDA14" s="118"/>
      <c r="VDG14" s="118"/>
      <c r="VDM14" s="118"/>
      <c r="VDS14" s="118"/>
      <c r="VDY14" s="118"/>
      <c r="VEE14" s="118"/>
      <c r="VEK14" s="118"/>
      <c r="VEQ14" s="118"/>
      <c r="VEW14" s="118"/>
      <c r="VFC14" s="118"/>
      <c r="VFI14" s="118"/>
      <c r="VFO14" s="118"/>
      <c r="VFU14" s="118"/>
      <c r="VGA14" s="118"/>
      <c r="VGG14" s="118"/>
      <c r="VGM14" s="118"/>
      <c r="VGS14" s="118"/>
      <c r="VGY14" s="118"/>
      <c r="VHE14" s="118"/>
      <c r="VHK14" s="118"/>
      <c r="VHQ14" s="118"/>
      <c r="VHW14" s="118"/>
      <c r="VIC14" s="118"/>
      <c r="VII14" s="118"/>
      <c r="VIO14" s="118"/>
      <c r="VIU14" s="118"/>
      <c r="VJA14" s="118"/>
      <c r="VJG14" s="118"/>
      <c r="VJM14" s="118"/>
      <c r="VJS14" s="118"/>
      <c r="VJY14" s="118"/>
      <c r="VKE14" s="118"/>
      <c r="VKK14" s="118"/>
      <c r="VKQ14" s="118"/>
      <c r="VKW14" s="118"/>
      <c r="VLC14" s="118"/>
      <c r="VLI14" s="118"/>
      <c r="VLO14" s="118"/>
      <c r="VLU14" s="118"/>
      <c r="VMA14" s="118"/>
      <c r="VMG14" s="118"/>
      <c r="VMM14" s="118"/>
      <c r="VMS14" s="118"/>
      <c r="VMY14" s="118"/>
      <c r="VNE14" s="118"/>
      <c r="VNK14" s="118"/>
      <c r="VNQ14" s="118"/>
      <c r="VNW14" s="118"/>
      <c r="VOC14" s="118"/>
      <c r="VOI14" s="118"/>
      <c r="VOO14" s="118"/>
      <c r="VOU14" s="118"/>
      <c r="VPA14" s="118"/>
      <c r="VPG14" s="118"/>
      <c r="VPM14" s="118"/>
      <c r="VPS14" s="118"/>
      <c r="VPY14" s="118"/>
      <c r="VQE14" s="118"/>
      <c r="VQK14" s="118"/>
      <c r="VQQ14" s="118"/>
      <c r="VQW14" s="118"/>
      <c r="VRC14" s="118"/>
      <c r="VRI14" s="118"/>
      <c r="VRO14" s="118"/>
      <c r="VRU14" s="118"/>
      <c r="VSA14" s="118"/>
      <c r="VSG14" s="118"/>
      <c r="VSM14" s="118"/>
      <c r="VSS14" s="118"/>
      <c r="VSY14" s="118"/>
      <c r="VTE14" s="118"/>
      <c r="VTK14" s="118"/>
      <c r="VTQ14" s="118"/>
      <c r="VTW14" s="118"/>
      <c r="VUC14" s="118"/>
      <c r="VUI14" s="118"/>
      <c r="VUO14" s="118"/>
      <c r="VUU14" s="118"/>
      <c r="VVA14" s="118"/>
      <c r="VVG14" s="118"/>
      <c r="VVM14" s="118"/>
      <c r="VVS14" s="118"/>
      <c r="VVY14" s="118"/>
      <c r="VWE14" s="118"/>
      <c r="VWK14" s="118"/>
      <c r="VWQ14" s="118"/>
      <c r="VWW14" s="118"/>
      <c r="VXC14" s="118"/>
      <c r="VXI14" s="118"/>
      <c r="VXO14" s="118"/>
      <c r="VXU14" s="118"/>
      <c r="VYA14" s="118"/>
      <c r="VYG14" s="118"/>
      <c r="VYM14" s="118"/>
      <c r="VYS14" s="118"/>
      <c r="VYY14" s="118"/>
      <c r="VZE14" s="118"/>
      <c r="VZK14" s="118"/>
      <c r="VZQ14" s="118"/>
      <c r="VZW14" s="118"/>
      <c r="WAC14" s="118"/>
      <c r="WAI14" s="118"/>
      <c r="WAO14" s="118"/>
      <c r="WAU14" s="118"/>
      <c r="WBA14" s="118"/>
      <c r="WBG14" s="118"/>
      <c r="WBM14" s="118"/>
      <c r="WBS14" s="118"/>
      <c r="WBY14" s="118"/>
      <c r="WCE14" s="118"/>
      <c r="WCK14" s="118"/>
      <c r="WCQ14" s="118"/>
      <c r="WCW14" s="118"/>
      <c r="WDC14" s="118"/>
      <c r="WDI14" s="118"/>
      <c r="WDO14" s="118"/>
      <c r="WDU14" s="118"/>
      <c r="WEA14" s="118"/>
      <c r="WEG14" s="118"/>
      <c r="WEM14" s="118"/>
      <c r="WES14" s="118"/>
      <c r="WEY14" s="118"/>
      <c r="WFE14" s="118"/>
      <c r="WFK14" s="118"/>
      <c r="WFQ14" s="118"/>
      <c r="WFW14" s="118"/>
      <c r="WGC14" s="118"/>
      <c r="WGI14" s="118"/>
      <c r="WGO14" s="118"/>
      <c r="WGU14" s="118"/>
      <c r="WHA14" s="118"/>
      <c r="WHG14" s="118"/>
      <c r="WHM14" s="118"/>
      <c r="WHS14" s="118"/>
      <c r="WHY14" s="118"/>
      <c r="WIE14" s="118"/>
      <c r="WIK14" s="118"/>
      <c r="WIQ14" s="118"/>
      <c r="WIW14" s="118"/>
      <c r="WJC14" s="118"/>
      <c r="WJI14" s="118"/>
      <c r="WJO14" s="118"/>
      <c r="WJU14" s="118"/>
      <c r="WKA14" s="118"/>
      <c r="WKG14" s="118"/>
      <c r="WKM14" s="118"/>
      <c r="WKS14" s="118"/>
      <c r="WKY14" s="118"/>
      <c r="WLE14" s="118"/>
      <c r="WLK14" s="118"/>
      <c r="WLQ14" s="118"/>
      <c r="WLW14" s="118"/>
      <c r="WMC14" s="118"/>
      <c r="WMI14" s="118"/>
      <c r="WMO14" s="118"/>
      <c r="WMU14" s="118"/>
      <c r="WNA14" s="118"/>
      <c r="WNG14" s="118"/>
      <c r="WNM14" s="118"/>
      <c r="WNS14" s="118"/>
      <c r="WNY14" s="118"/>
      <c r="WOE14" s="118"/>
      <c r="WOK14" s="118"/>
      <c r="WOQ14" s="118"/>
      <c r="WOW14" s="118"/>
      <c r="WPC14" s="118"/>
      <c r="WPI14" s="118"/>
      <c r="WPO14" s="118"/>
      <c r="WPU14" s="118"/>
      <c r="WQA14" s="118"/>
      <c r="WQG14" s="118"/>
      <c r="WQM14" s="118"/>
      <c r="WQS14" s="118"/>
      <c r="WQY14" s="118"/>
      <c r="WRE14" s="118"/>
      <c r="WRK14" s="118"/>
      <c r="WRQ14" s="118"/>
      <c r="WRW14" s="118"/>
      <c r="WSC14" s="118"/>
      <c r="WSI14" s="118"/>
      <c r="WSO14" s="118"/>
      <c r="WSU14" s="118"/>
      <c r="WTA14" s="118"/>
      <c r="WTG14" s="118"/>
      <c r="WTM14" s="118"/>
      <c r="WTS14" s="118"/>
      <c r="WTY14" s="118"/>
      <c r="WUE14" s="118"/>
      <c r="WUK14" s="118"/>
      <c r="WUQ14" s="118"/>
      <c r="WUW14" s="118"/>
      <c r="WVC14" s="118"/>
      <c r="WVI14" s="118"/>
      <c r="WVO14" s="118"/>
      <c r="WVU14" s="118"/>
      <c r="WWA14" s="118"/>
      <c r="WWG14" s="118"/>
      <c r="WWM14" s="118"/>
      <c r="WWS14" s="118"/>
      <c r="WWY14" s="118"/>
      <c r="WXE14" s="118"/>
      <c r="WXK14" s="118"/>
      <c r="WXQ14" s="118"/>
      <c r="WXW14" s="118"/>
      <c r="WYC14" s="118"/>
      <c r="WYI14" s="118"/>
      <c r="WYO14" s="118"/>
      <c r="WYU14" s="118"/>
      <c r="WZA14" s="118"/>
      <c r="WZG14" s="118"/>
      <c r="WZM14" s="118"/>
      <c r="WZS14" s="118"/>
      <c r="WZY14" s="118"/>
      <c r="XAE14" s="118"/>
      <c r="XAK14" s="118"/>
      <c r="XAQ14" s="118"/>
      <c r="XAW14" s="118"/>
      <c r="XBC14" s="118"/>
      <c r="XBI14" s="118"/>
      <c r="XBO14" s="118"/>
      <c r="XBU14" s="118"/>
      <c r="XCA14" s="118"/>
      <c r="XCG14" s="118"/>
      <c r="XCM14" s="118"/>
      <c r="XCS14" s="118"/>
      <c r="XCY14" s="118"/>
      <c r="XDE14" s="118"/>
      <c r="XDK14" s="118"/>
      <c r="XDQ14" s="118"/>
      <c r="XDW14" s="118"/>
      <c r="XEC14" s="118"/>
      <c r="XEI14" s="118"/>
      <c r="XEO14" s="118"/>
      <c r="XEU14" s="118"/>
      <c r="XFA14" s="118"/>
    </row>
    <row r="15" spans="1:1021 1027:2047 2053:3067 3073:4093 4099:5119 5125:6139 6145:7165 7171:8191 8197:9211 9217:10237 10243:11263 11269:12283 12289:13309 13315:14335 14341:15355 15361:16381" x14ac:dyDescent="0.25">
      <c r="A15" s="50" t="s">
        <v>630</v>
      </c>
      <c r="B15" s="46" t="s">
        <v>113</v>
      </c>
      <c r="C15" s="46" t="s">
        <v>631</v>
      </c>
    </row>
    <row r="16" spans="1:1021 1027:2047 2053:3067 3073:4093 4099:5119 5125:6139 6145:7165 7171:8191 8197:9211 9217:10237 10243:11263 11269:12283 12289:13309 13315:14335 14341:15355 15361:16381" x14ac:dyDescent="0.25">
      <c r="A16" s="50" t="s">
        <v>131</v>
      </c>
      <c r="B16" s="46" t="s">
        <v>132</v>
      </c>
      <c r="C16" s="46" t="s">
        <v>632</v>
      </c>
      <c r="D16" s="46" t="s">
        <v>633</v>
      </c>
      <c r="E16" s="46" t="s">
        <v>634</v>
      </c>
    </row>
    <row r="17" spans="1:5" x14ac:dyDescent="0.25">
      <c r="A17" s="50" t="s">
        <v>136</v>
      </c>
      <c r="B17" s="46" t="s">
        <v>137</v>
      </c>
    </row>
    <row r="18" spans="1:5" x14ac:dyDescent="0.25">
      <c r="A18" s="51" t="s">
        <v>138</v>
      </c>
      <c r="B18" s="46">
        <v>380</v>
      </c>
      <c r="C18" s="46">
        <v>400</v>
      </c>
    </row>
    <row r="19" spans="1:5" x14ac:dyDescent="0.25">
      <c r="A19" s="50" t="s">
        <v>151</v>
      </c>
      <c r="B19" s="46" t="s">
        <v>11</v>
      </c>
      <c r="C19" s="46" t="s">
        <v>16</v>
      </c>
    </row>
    <row r="20" spans="1:5" x14ac:dyDescent="0.25">
      <c r="A20" s="50" t="s">
        <v>172</v>
      </c>
      <c r="B20" s="46" t="s">
        <v>11</v>
      </c>
      <c r="C20" s="46" t="s">
        <v>16</v>
      </c>
    </row>
    <row r="21" spans="1:5" x14ac:dyDescent="0.25">
      <c r="A21" s="50" t="s">
        <v>193</v>
      </c>
      <c r="B21" s="46" t="s">
        <v>11</v>
      </c>
      <c r="C21" s="46" t="s">
        <v>16</v>
      </c>
    </row>
    <row r="22" spans="1:5" x14ac:dyDescent="0.25">
      <c r="A22" s="50" t="s">
        <v>194</v>
      </c>
      <c r="B22" s="46" t="s">
        <v>11</v>
      </c>
      <c r="C22" s="46" t="s">
        <v>16</v>
      </c>
    </row>
    <row r="23" spans="1:5" x14ac:dyDescent="0.25">
      <c r="A23" s="50" t="s">
        <v>195</v>
      </c>
      <c r="B23" s="46" t="s">
        <v>11</v>
      </c>
      <c r="C23" s="46" t="s">
        <v>16</v>
      </c>
    </row>
    <row r="24" spans="1:5" x14ac:dyDescent="0.25">
      <c r="A24" s="50" t="s">
        <v>196</v>
      </c>
      <c r="B24" s="46">
        <v>0</v>
      </c>
      <c r="C24" s="46">
        <v>1</v>
      </c>
      <c r="D24" s="46">
        <v>2</v>
      </c>
      <c r="E24" s="46">
        <v>3</v>
      </c>
    </row>
    <row r="25" spans="1:5" x14ac:dyDescent="0.25">
      <c r="A25" s="50" t="s">
        <v>198</v>
      </c>
      <c r="B25" s="46" t="s">
        <v>11</v>
      </c>
      <c r="C25" s="46" t="s">
        <v>16</v>
      </c>
    </row>
    <row r="26" spans="1:5" x14ac:dyDescent="0.25">
      <c r="A26" s="50" t="s">
        <v>199</v>
      </c>
      <c r="B26" s="46" t="s">
        <v>11</v>
      </c>
      <c r="C26" s="46" t="s">
        <v>16</v>
      </c>
    </row>
    <row r="27" spans="1:5" x14ac:dyDescent="0.25">
      <c r="A27" s="50" t="s">
        <v>738</v>
      </c>
      <c r="B27" s="46" t="s">
        <v>16</v>
      </c>
      <c r="C27" s="46" t="s">
        <v>734</v>
      </c>
      <c r="D27" s="46" t="s">
        <v>735</v>
      </c>
    </row>
    <row r="28" spans="1:5" x14ac:dyDescent="0.25">
      <c r="A28" s="50" t="s">
        <v>202</v>
      </c>
      <c r="B28" s="46">
        <v>0</v>
      </c>
      <c r="C28" s="46">
        <v>1</v>
      </c>
      <c r="D28" s="46">
        <v>2</v>
      </c>
      <c r="E28" s="46">
        <v>3</v>
      </c>
    </row>
    <row r="29" spans="1:5" x14ac:dyDescent="0.25">
      <c r="A29" s="50" t="s">
        <v>209</v>
      </c>
      <c r="B29" s="46" t="s">
        <v>11</v>
      </c>
      <c r="C29" s="46" t="s">
        <v>16</v>
      </c>
    </row>
    <row r="30" spans="1:5" x14ac:dyDescent="0.25">
      <c r="A30" s="50" t="s">
        <v>214</v>
      </c>
      <c r="B30" s="46" t="s">
        <v>11</v>
      </c>
      <c r="C30" s="46" t="s">
        <v>16</v>
      </c>
    </row>
    <row r="31" spans="1:5" x14ac:dyDescent="0.25">
      <c r="A31" s="50" t="s">
        <v>215</v>
      </c>
      <c r="B31" s="46" t="s">
        <v>11</v>
      </c>
      <c r="C31" s="46" t="s">
        <v>16</v>
      </c>
    </row>
    <row r="32" spans="1:5" x14ac:dyDescent="0.25">
      <c r="A32" s="50" t="s">
        <v>216</v>
      </c>
      <c r="B32" s="46" t="s">
        <v>217</v>
      </c>
      <c r="C32" s="46" t="s">
        <v>635</v>
      </c>
    </row>
    <row r="33" spans="1:3" x14ac:dyDescent="0.25">
      <c r="A33" s="50" t="s">
        <v>218</v>
      </c>
      <c r="B33" s="46" t="s">
        <v>11</v>
      </c>
      <c r="C33" s="46" t="s">
        <v>16</v>
      </c>
    </row>
    <row r="34" spans="1:3" x14ac:dyDescent="0.25">
      <c r="A34" s="50" t="s">
        <v>219</v>
      </c>
      <c r="B34" s="46" t="s">
        <v>11</v>
      </c>
      <c r="C34" s="46" t="s">
        <v>16</v>
      </c>
    </row>
    <row r="35" spans="1:3" x14ac:dyDescent="0.25">
      <c r="A35" s="50" t="s">
        <v>221</v>
      </c>
      <c r="B35" s="46" t="s">
        <v>11</v>
      </c>
      <c r="C35" s="46" t="s">
        <v>16</v>
      </c>
    </row>
    <row r="36" spans="1:3" x14ac:dyDescent="0.25">
      <c r="A36" s="50" t="s">
        <v>222</v>
      </c>
      <c r="B36" s="46" t="s">
        <v>11</v>
      </c>
      <c r="C36" s="46" t="s">
        <v>16</v>
      </c>
    </row>
    <row r="37" spans="1:3" x14ac:dyDescent="0.25">
      <c r="A37" s="50" t="s">
        <v>223</v>
      </c>
      <c r="B37" s="46" t="s">
        <v>11</v>
      </c>
      <c r="C37" s="46" t="s">
        <v>16</v>
      </c>
    </row>
    <row r="38" spans="1:3" x14ac:dyDescent="0.25">
      <c r="A38" s="50" t="s">
        <v>224</v>
      </c>
      <c r="B38" s="46" t="s">
        <v>11</v>
      </c>
      <c r="C38" s="46" t="s">
        <v>16</v>
      </c>
    </row>
    <row r="39" spans="1:3" x14ac:dyDescent="0.25">
      <c r="A39" s="50" t="s">
        <v>225</v>
      </c>
      <c r="B39" s="46" t="s">
        <v>11</v>
      </c>
      <c r="C39" s="46" t="s">
        <v>16</v>
      </c>
    </row>
    <row r="40" spans="1:3" x14ac:dyDescent="0.25">
      <c r="A40" s="50" t="s">
        <v>226</v>
      </c>
      <c r="B40" s="46" t="s">
        <v>11</v>
      </c>
      <c r="C40" s="46" t="s">
        <v>16</v>
      </c>
    </row>
    <row r="41" spans="1:3" x14ac:dyDescent="0.25">
      <c r="A41" s="50" t="s">
        <v>227</v>
      </c>
      <c r="B41" s="46" t="s">
        <v>11</v>
      </c>
      <c r="C41" s="46" t="s">
        <v>16</v>
      </c>
    </row>
    <row r="42" spans="1:3" x14ac:dyDescent="0.25">
      <c r="A42" s="50" t="s">
        <v>228</v>
      </c>
      <c r="B42" s="46" t="s">
        <v>11</v>
      </c>
      <c r="C42" s="46" t="s">
        <v>16</v>
      </c>
    </row>
    <row r="44" spans="1:3" x14ac:dyDescent="0.25">
      <c r="A44" t="s">
        <v>245</v>
      </c>
      <c r="B44" s="46" t="s">
        <v>11</v>
      </c>
      <c r="C44" s="46" t="s">
        <v>16</v>
      </c>
    </row>
    <row r="45" spans="1:3" x14ac:dyDescent="0.25">
      <c r="A45" t="s">
        <v>246</v>
      </c>
      <c r="B45" s="46" t="s">
        <v>11</v>
      </c>
      <c r="C45" s="46" t="s">
        <v>16</v>
      </c>
    </row>
    <row r="46" spans="1:3" x14ac:dyDescent="0.25">
      <c r="A46" t="s">
        <v>249</v>
      </c>
      <c r="B46" s="46" t="s">
        <v>11</v>
      </c>
      <c r="C46" s="46" t="s">
        <v>16</v>
      </c>
    </row>
    <row r="47" spans="1:3" x14ac:dyDescent="0.25">
      <c r="A47" t="s">
        <v>250</v>
      </c>
      <c r="B47" s="46" t="s">
        <v>11</v>
      </c>
      <c r="C47" s="46" t="s">
        <v>16</v>
      </c>
    </row>
    <row r="48" spans="1:3" x14ac:dyDescent="0.25">
      <c r="A48" t="s">
        <v>251</v>
      </c>
      <c r="B48" s="46" t="s">
        <v>11</v>
      </c>
      <c r="C48" s="46" t="s">
        <v>16</v>
      </c>
    </row>
    <row r="49" spans="1:3" x14ac:dyDescent="0.25">
      <c r="A49" t="s">
        <v>286</v>
      </c>
      <c r="B49" s="255" t="s">
        <v>11</v>
      </c>
      <c r="C49" s="255" t="s">
        <v>16</v>
      </c>
    </row>
    <row r="50" spans="1:3" x14ac:dyDescent="0.25">
      <c r="A50" t="s">
        <v>287</v>
      </c>
      <c r="B50" s="255"/>
      <c r="C50" s="255"/>
    </row>
    <row r="51" spans="1:3" x14ac:dyDescent="0.25">
      <c r="A51" t="s">
        <v>288</v>
      </c>
      <c r="B51" s="255"/>
      <c r="C51" s="255"/>
    </row>
    <row r="52" spans="1:3" x14ac:dyDescent="0.25">
      <c r="A52" t="s">
        <v>289</v>
      </c>
      <c r="B52" s="255"/>
      <c r="C52" s="255"/>
    </row>
    <row r="53" spans="1:3" x14ac:dyDescent="0.25">
      <c r="A53" t="s">
        <v>290</v>
      </c>
      <c r="B53" s="255"/>
      <c r="C53" s="255"/>
    </row>
    <row r="54" spans="1:3" x14ac:dyDescent="0.25">
      <c r="A54" t="s">
        <v>291</v>
      </c>
      <c r="B54" s="255"/>
      <c r="C54" s="255"/>
    </row>
    <row r="55" spans="1:3" x14ac:dyDescent="0.25">
      <c r="A55" t="s">
        <v>292</v>
      </c>
      <c r="B55" s="255"/>
      <c r="C55" s="255"/>
    </row>
    <row r="56" spans="1:3" x14ac:dyDescent="0.25">
      <c r="A56" t="s">
        <v>293</v>
      </c>
      <c r="B56" s="255"/>
      <c r="C56" s="255"/>
    </row>
    <row r="57" spans="1:3" x14ac:dyDescent="0.25">
      <c r="A57" t="s">
        <v>294</v>
      </c>
      <c r="B57" s="255"/>
      <c r="C57" s="255"/>
    </row>
    <row r="58" spans="1:3" x14ac:dyDescent="0.25">
      <c r="A58" t="s">
        <v>296</v>
      </c>
      <c r="B58" s="255"/>
      <c r="C58" s="255"/>
    </row>
    <row r="59" spans="1:3" x14ac:dyDescent="0.25">
      <c r="A59" t="s">
        <v>297</v>
      </c>
      <c r="B59" s="255"/>
      <c r="C59" s="255"/>
    </row>
    <row r="60" spans="1:3" x14ac:dyDescent="0.25">
      <c r="A60" t="s">
        <v>298</v>
      </c>
      <c r="B60" s="255"/>
      <c r="C60" s="255"/>
    </row>
    <row r="61" spans="1:3" x14ac:dyDescent="0.25">
      <c r="A61" t="s">
        <v>299</v>
      </c>
      <c r="B61" s="255"/>
      <c r="C61" s="255"/>
    </row>
    <row r="62" spans="1:3" x14ac:dyDescent="0.25">
      <c r="A62" t="s">
        <v>300</v>
      </c>
      <c r="B62" s="255"/>
      <c r="C62" s="255"/>
    </row>
    <row r="63" spans="1:3" x14ac:dyDescent="0.25">
      <c r="A63" t="s">
        <v>301</v>
      </c>
      <c r="B63" s="255"/>
      <c r="C63" s="255"/>
    </row>
    <row r="64" spans="1:3" x14ac:dyDescent="0.25">
      <c r="A64" t="s">
        <v>302</v>
      </c>
      <c r="B64" s="255"/>
      <c r="C64" s="255"/>
    </row>
    <row r="65" spans="1:5" x14ac:dyDescent="0.25">
      <c r="A65" t="s">
        <v>303</v>
      </c>
      <c r="B65" s="255"/>
      <c r="C65" s="255"/>
    </row>
    <row r="66" spans="1:5" x14ac:dyDescent="0.25">
      <c r="A66" t="s">
        <v>304</v>
      </c>
      <c r="B66" s="255"/>
      <c r="C66" s="255"/>
    </row>
    <row r="67" spans="1:5" x14ac:dyDescent="0.25">
      <c r="A67" t="s">
        <v>305</v>
      </c>
      <c r="B67" s="255"/>
      <c r="C67" s="255"/>
    </row>
    <row r="68" spans="1:5" x14ac:dyDescent="0.25">
      <c r="A68" t="s">
        <v>306</v>
      </c>
      <c r="B68" s="255"/>
      <c r="C68" s="255"/>
    </row>
    <row r="69" spans="1:5" x14ac:dyDescent="0.25">
      <c r="A69" t="s">
        <v>307</v>
      </c>
      <c r="B69" s="255"/>
      <c r="C69" s="255"/>
    </row>
    <row r="70" spans="1:5" x14ac:dyDescent="0.25">
      <c r="A70" t="s">
        <v>308</v>
      </c>
      <c r="B70" s="255"/>
      <c r="C70" s="255"/>
    </row>
    <row r="71" spans="1:5" x14ac:dyDescent="0.25">
      <c r="A71" t="s">
        <v>309</v>
      </c>
      <c r="B71" s="255"/>
      <c r="C71" s="255"/>
    </row>
    <row r="72" spans="1:5" x14ac:dyDescent="0.25">
      <c r="A72" t="s">
        <v>310</v>
      </c>
      <c r="B72" s="255"/>
      <c r="C72" s="255"/>
    </row>
    <row r="73" spans="1:5" x14ac:dyDescent="0.25">
      <c r="A73" t="s">
        <v>311</v>
      </c>
      <c r="B73" s="255"/>
      <c r="C73" s="255"/>
    </row>
    <row r="74" spans="1:5" x14ac:dyDescent="0.25">
      <c r="A74" t="s">
        <v>312</v>
      </c>
      <c r="B74" s="255"/>
      <c r="C74" s="255"/>
    </row>
    <row r="76" spans="1:5" x14ac:dyDescent="0.25">
      <c r="A76" t="s">
        <v>636</v>
      </c>
      <c r="B76" s="46" t="s">
        <v>399</v>
      </c>
      <c r="C76" s="46" t="s">
        <v>400</v>
      </c>
    </row>
    <row r="78" spans="1:5" x14ac:dyDescent="0.25">
      <c r="A78" t="s">
        <v>200</v>
      </c>
      <c r="B78" s="46" t="s">
        <v>739</v>
      </c>
      <c r="C78" s="46" t="s">
        <v>740</v>
      </c>
      <c r="D78" s="46" t="s">
        <v>741</v>
      </c>
    </row>
    <row r="79" spans="1:5" x14ac:dyDescent="0.25">
      <c r="A79" t="s">
        <v>203</v>
      </c>
      <c r="B79" s="46" t="s">
        <v>11</v>
      </c>
      <c r="C79" s="46" t="s">
        <v>16</v>
      </c>
    </row>
    <row r="80" spans="1:5" x14ac:dyDescent="0.25">
      <c r="A80" t="s">
        <v>205</v>
      </c>
      <c r="B80" t="s">
        <v>733</v>
      </c>
      <c r="C80" s="46" t="s">
        <v>732</v>
      </c>
      <c r="D80" s="46" t="s">
        <v>731</v>
      </c>
      <c r="E80" s="46" t="s">
        <v>730</v>
      </c>
    </row>
    <row r="92" spans="1:15" x14ac:dyDescent="0.25">
      <c r="A92" t="s">
        <v>637</v>
      </c>
    </row>
    <row r="93" spans="1:15" x14ac:dyDescent="0.25">
      <c r="I93" t="s">
        <v>638</v>
      </c>
      <c r="K93" t="s">
        <v>639</v>
      </c>
      <c r="L93" t="s">
        <v>640</v>
      </c>
      <c r="M93" t="s">
        <v>641</v>
      </c>
      <c r="N93" t="s">
        <v>642</v>
      </c>
      <c r="O93" t="s">
        <v>642</v>
      </c>
    </row>
    <row r="94" spans="1:15" x14ac:dyDescent="0.25">
      <c r="A94" s="54" t="s">
        <v>643</v>
      </c>
      <c r="B94" s="49"/>
      <c r="C94" s="49" t="s">
        <v>86</v>
      </c>
      <c r="D94" s="49" t="s">
        <v>87</v>
      </c>
      <c r="E94" s="49" t="s">
        <v>614</v>
      </c>
      <c r="F94" s="49" t="s">
        <v>615</v>
      </c>
      <c r="G94" s="49" t="s">
        <v>616</v>
      </c>
      <c r="J94" s="49" t="s">
        <v>644</v>
      </c>
      <c r="K94" s="49" t="s">
        <v>86</v>
      </c>
      <c r="L94" s="49" t="s">
        <v>87</v>
      </c>
      <c r="M94" s="49" t="s">
        <v>614</v>
      </c>
      <c r="N94" s="49" t="s">
        <v>615</v>
      </c>
      <c r="O94" s="49" t="s">
        <v>616</v>
      </c>
    </row>
    <row r="95" spans="1:15" x14ac:dyDescent="0.25">
      <c r="B95" s="49">
        <v>700</v>
      </c>
      <c r="C95" s="49">
        <v>1</v>
      </c>
      <c r="D95" s="49">
        <v>8</v>
      </c>
      <c r="E95" s="49">
        <v>15</v>
      </c>
      <c r="F95" s="49">
        <v>43</v>
      </c>
      <c r="G95" s="49">
        <v>55</v>
      </c>
      <c r="J95" s="49">
        <v>700</v>
      </c>
      <c r="K95" s="49">
        <v>1400072</v>
      </c>
      <c r="L95" s="49"/>
      <c r="M95" s="49"/>
      <c r="N95" s="49">
        <v>1400681</v>
      </c>
      <c r="O95" s="49">
        <v>1400670</v>
      </c>
    </row>
    <row r="96" spans="1:15" x14ac:dyDescent="0.25">
      <c r="B96" s="49">
        <v>800</v>
      </c>
      <c r="C96" s="49">
        <v>2</v>
      </c>
      <c r="D96" s="49">
        <v>9</v>
      </c>
      <c r="E96" s="49">
        <v>16</v>
      </c>
      <c r="F96" s="49">
        <v>44</v>
      </c>
      <c r="G96" s="49">
        <v>56</v>
      </c>
      <c r="J96" s="49">
        <v>800</v>
      </c>
      <c r="K96" s="49">
        <v>1400073</v>
      </c>
      <c r="L96" s="49"/>
      <c r="M96" s="49"/>
      <c r="N96" s="49">
        <v>1400682</v>
      </c>
      <c r="O96" s="49">
        <v>1400671</v>
      </c>
    </row>
    <row r="97" spans="1:15" x14ac:dyDescent="0.25">
      <c r="B97" s="49">
        <v>900</v>
      </c>
      <c r="C97" s="49">
        <v>3</v>
      </c>
      <c r="D97" s="49">
        <v>10</v>
      </c>
      <c r="E97" s="49">
        <v>17</v>
      </c>
      <c r="F97" s="49">
        <v>45</v>
      </c>
      <c r="G97" s="49">
        <v>57</v>
      </c>
      <c r="J97" s="49">
        <v>900</v>
      </c>
      <c r="K97" s="49">
        <v>1400074</v>
      </c>
      <c r="L97" s="49"/>
      <c r="M97" s="49"/>
      <c r="N97" s="49">
        <v>1400683</v>
      </c>
      <c r="O97" s="49">
        <v>1400672</v>
      </c>
    </row>
    <row r="98" spans="1:15" x14ac:dyDescent="0.25">
      <c r="B98" s="49">
        <v>1000</v>
      </c>
      <c r="C98" s="49">
        <v>4</v>
      </c>
      <c r="D98" s="49">
        <v>11</v>
      </c>
      <c r="E98" s="49">
        <v>18</v>
      </c>
      <c r="F98" s="49">
        <v>46</v>
      </c>
      <c r="G98" s="49">
        <v>58</v>
      </c>
      <c r="J98" s="49">
        <v>1000</v>
      </c>
      <c r="K98" s="49">
        <v>1400075</v>
      </c>
      <c r="L98" s="49"/>
      <c r="M98" s="49"/>
      <c r="N98" s="49">
        <v>1400684</v>
      </c>
      <c r="O98" s="49">
        <v>1400673</v>
      </c>
    </row>
    <row r="99" spans="1:15" x14ac:dyDescent="0.25">
      <c r="B99" s="49">
        <v>1100</v>
      </c>
      <c r="C99" s="49">
        <v>5</v>
      </c>
      <c r="D99" s="49">
        <v>12</v>
      </c>
      <c r="E99" s="49">
        <v>19</v>
      </c>
      <c r="F99" s="49">
        <v>47</v>
      </c>
      <c r="G99" s="49">
        <v>59</v>
      </c>
      <c r="J99" s="49">
        <v>1100</v>
      </c>
      <c r="K99" s="49">
        <v>1400076</v>
      </c>
      <c r="L99" s="49"/>
      <c r="M99" s="49"/>
      <c r="N99" s="49">
        <v>1400685</v>
      </c>
      <c r="O99" s="49">
        <v>1400674</v>
      </c>
    </row>
    <row r="100" spans="1:15" x14ac:dyDescent="0.25">
      <c r="B100" s="49">
        <v>1200</v>
      </c>
      <c r="C100" s="49">
        <v>6</v>
      </c>
      <c r="D100" s="49">
        <v>13</v>
      </c>
      <c r="E100" s="49">
        <v>20</v>
      </c>
      <c r="F100" s="49">
        <v>48</v>
      </c>
      <c r="G100" s="49">
        <v>60</v>
      </c>
      <c r="J100" s="49">
        <v>1200</v>
      </c>
      <c r="K100" s="49">
        <v>1400077</v>
      </c>
      <c r="L100" s="49">
        <v>1400092</v>
      </c>
      <c r="M100" s="49"/>
      <c r="N100" s="49">
        <v>1400686</v>
      </c>
      <c r="O100" s="49">
        <v>1400675</v>
      </c>
    </row>
    <row r="101" spans="1:15" x14ac:dyDescent="0.25">
      <c r="B101" s="60"/>
      <c r="C101" s="49" t="s">
        <v>645</v>
      </c>
      <c r="D101" s="49" t="s">
        <v>645</v>
      </c>
      <c r="E101" s="49" t="s">
        <v>645</v>
      </c>
      <c r="F101" s="49" t="s">
        <v>645</v>
      </c>
      <c r="G101" s="49" t="s">
        <v>645</v>
      </c>
      <c r="J101" s="49">
        <v>1300</v>
      </c>
      <c r="K101" s="49">
        <v>1400078</v>
      </c>
      <c r="L101" s="49">
        <v>1400093</v>
      </c>
      <c r="M101" s="49"/>
      <c r="N101" s="49">
        <v>1400687</v>
      </c>
      <c r="O101" s="49">
        <v>1400676</v>
      </c>
    </row>
    <row r="102" spans="1:15" x14ac:dyDescent="0.25">
      <c r="B102" s="60"/>
      <c r="C102" s="49" t="s">
        <v>645</v>
      </c>
      <c r="D102" s="49" t="s">
        <v>645</v>
      </c>
      <c r="E102" s="49" t="s">
        <v>645</v>
      </c>
      <c r="F102" s="49" t="s">
        <v>645</v>
      </c>
      <c r="G102" s="49" t="s">
        <v>645</v>
      </c>
      <c r="J102" s="49">
        <v>1400</v>
      </c>
      <c r="K102" s="49">
        <v>1400079</v>
      </c>
      <c r="L102" s="49">
        <v>1400094</v>
      </c>
      <c r="M102" s="49">
        <v>1400128</v>
      </c>
      <c r="N102" s="49">
        <v>1400688</v>
      </c>
      <c r="O102" s="49">
        <v>1400677</v>
      </c>
    </row>
    <row r="103" spans="1:15" x14ac:dyDescent="0.25">
      <c r="B103" s="49">
        <v>1500</v>
      </c>
      <c r="C103" s="49" t="s">
        <v>645</v>
      </c>
      <c r="D103" s="49">
        <v>14</v>
      </c>
      <c r="E103" s="49" t="s">
        <v>645</v>
      </c>
      <c r="F103" s="49" t="s">
        <v>645</v>
      </c>
      <c r="G103" s="49" t="s">
        <v>645</v>
      </c>
      <c r="J103" s="49">
        <v>1500</v>
      </c>
      <c r="K103" s="49">
        <v>1400080</v>
      </c>
      <c r="L103" s="49">
        <v>1400095</v>
      </c>
      <c r="M103" s="49">
        <v>1400129</v>
      </c>
      <c r="N103" s="49">
        <v>1400689</v>
      </c>
      <c r="O103" s="49">
        <v>1400678</v>
      </c>
    </row>
    <row r="104" spans="1:15" x14ac:dyDescent="0.25">
      <c r="B104" s="49">
        <v>2000</v>
      </c>
      <c r="C104" s="49">
        <v>7</v>
      </c>
      <c r="D104" s="49" t="s">
        <v>645</v>
      </c>
      <c r="E104" s="49">
        <v>21</v>
      </c>
      <c r="F104" s="49" t="s">
        <v>645</v>
      </c>
      <c r="G104" s="49" t="s">
        <v>645</v>
      </c>
      <c r="J104" s="49">
        <v>1600</v>
      </c>
      <c r="K104" s="49">
        <v>1400081</v>
      </c>
      <c r="L104" s="49">
        <v>1400096</v>
      </c>
      <c r="M104" s="49">
        <v>1400130</v>
      </c>
      <c r="N104" s="49">
        <v>1400690</v>
      </c>
      <c r="O104" s="49">
        <v>1400679</v>
      </c>
    </row>
    <row r="105" spans="1:15" x14ac:dyDescent="0.25">
      <c r="B105"/>
      <c r="C105"/>
      <c r="D105"/>
      <c r="E105"/>
      <c r="J105" s="49">
        <v>1700</v>
      </c>
      <c r="K105" s="49"/>
      <c r="L105" s="49">
        <v>1400097</v>
      </c>
      <c r="M105" s="49">
        <v>1400131</v>
      </c>
      <c r="N105" s="49">
        <v>1400691</v>
      </c>
      <c r="O105" s="49">
        <v>1400680</v>
      </c>
    </row>
    <row r="106" spans="1:15" x14ac:dyDescent="0.25">
      <c r="B106"/>
      <c r="C106"/>
      <c r="D106"/>
      <c r="E106"/>
      <c r="J106" s="49">
        <v>1800</v>
      </c>
      <c r="K106" s="49"/>
      <c r="L106" s="49">
        <v>1400098</v>
      </c>
      <c r="M106" s="49">
        <v>1400132</v>
      </c>
    </row>
    <row r="107" spans="1:15" x14ac:dyDescent="0.25">
      <c r="B107" s="61" t="s">
        <v>646</v>
      </c>
      <c r="C107" s="49">
        <v>125</v>
      </c>
      <c r="D107" s="49">
        <v>150</v>
      </c>
      <c r="E107" s="49">
        <v>195</v>
      </c>
      <c r="F107" s="49">
        <v>150</v>
      </c>
      <c r="G107" s="49">
        <v>150</v>
      </c>
      <c r="J107" s="49">
        <v>1900</v>
      </c>
      <c r="K107" s="49"/>
      <c r="L107" s="49">
        <v>1400099</v>
      </c>
      <c r="M107" s="49">
        <v>1400133</v>
      </c>
    </row>
    <row r="108" spans="1:15" x14ac:dyDescent="0.25">
      <c r="J108" s="49">
        <v>2000</v>
      </c>
      <c r="K108" s="49"/>
      <c r="L108" s="49">
        <v>1400100</v>
      </c>
      <c r="M108" s="49">
        <v>1400134</v>
      </c>
    </row>
    <row r="109" spans="1:15" x14ac:dyDescent="0.25">
      <c r="A109" s="54" t="s">
        <v>647</v>
      </c>
      <c r="B109" s="58"/>
      <c r="C109" s="58" t="s">
        <v>86</v>
      </c>
      <c r="D109" s="58" t="s">
        <v>87</v>
      </c>
      <c r="E109" s="58" t="s">
        <v>614</v>
      </c>
      <c r="F109" s="58" t="s">
        <v>615</v>
      </c>
      <c r="G109" s="58" t="s">
        <v>616</v>
      </c>
      <c r="I109" s="46"/>
      <c r="J109" s="49">
        <v>2100</v>
      </c>
      <c r="K109" s="49"/>
      <c r="L109" s="49">
        <v>1400101</v>
      </c>
      <c r="M109" s="49">
        <v>1400135</v>
      </c>
    </row>
    <row r="110" spans="1:15" x14ac:dyDescent="0.25">
      <c r="B110" s="58">
        <v>700</v>
      </c>
      <c r="C110" s="58">
        <v>22</v>
      </c>
      <c r="D110" s="58">
        <v>29</v>
      </c>
      <c r="E110" s="58">
        <v>36</v>
      </c>
      <c r="F110" s="58">
        <v>67</v>
      </c>
      <c r="G110" s="58">
        <v>79</v>
      </c>
      <c r="I110" s="46"/>
      <c r="J110" s="49">
        <v>2200</v>
      </c>
      <c r="K110" s="49"/>
      <c r="L110" s="49">
        <v>1400102</v>
      </c>
      <c r="M110" s="49">
        <v>1400136</v>
      </c>
    </row>
    <row r="111" spans="1:15" x14ac:dyDescent="0.25">
      <c r="B111" s="58">
        <v>800</v>
      </c>
      <c r="C111" s="58">
        <v>23</v>
      </c>
      <c r="D111" s="58">
        <v>30</v>
      </c>
      <c r="E111" s="58">
        <v>37</v>
      </c>
      <c r="F111" s="58">
        <v>68</v>
      </c>
      <c r="G111" s="58">
        <v>80</v>
      </c>
      <c r="I111" s="46"/>
    </row>
    <row r="112" spans="1:15" x14ac:dyDescent="0.25">
      <c r="B112" s="58">
        <v>900</v>
      </c>
      <c r="C112" s="58">
        <v>24</v>
      </c>
      <c r="D112" s="58">
        <v>31</v>
      </c>
      <c r="E112" s="58">
        <v>38</v>
      </c>
      <c r="F112" s="58">
        <v>69</v>
      </c>
      <c r="G112" s="58">
        <v>81</v>
      </c>
      <c r="I112" s="46"/>
      <c r="J112" s="49" t="s">
        <v>648</v>
      </c>
      <c r="K112" s="49">
        <v>120</v>
      </c>
      <c r="L112" s="49">
        <v>120</v>
      </c>
      <c r="M112" s="49">
        <v>180</v>
      </c>
      <c r="N112" s="49">
        <v>98.5</v>
      </c>
      <c r="O112" s="49">
        <v>98.5</v>
      </c>
    </row>
    <row r="113" spans="1:15" x14ac:dyDescent="0.25">
      <c r="B113" s="58">
        <v>1000</v>
      </c>
      <c r="C113" s="58">
        <v>25</v>
      </c>
      <c r="D113" s="58">
        <v>32</v>
      </c>
      <c r="E113" s="58">
        <v>39</v>
      </c>
      <c r="F113" s="58">
        <v>70</v>
      </c>
      <c r="G113" s="58">
        <v>82</v>
      </c>
      <c r="I113" s="46"/>
    </row>
    <row r="114" spans="1:15" x14ac:dyDescent="0.25">
      <c r="A114" s="256" t="s">
        <v>649</v>
      </c>
      <c r="B114" s="58">
        <v>1100</v>
      </c>
      <c r="C114" s="58">
        <v>26</v>
      </c>
      <c r="D114" s="58">
        <v>33</v>
      </c>
      <c r="E114" s="58">
        <v>40</v>
      </c>
      <c r="F114" s="58">
        <v>71</v>
      </c>
      <c r="G114" s="58">
        <v>83</v>
      </c>
      <c r="I114" s="46"/>
      <c r="K114" t="s">
        <v>650</v>
      </c>
      <c r="L114" t="s">
        <v>651</v>
      </c>
      <c r="M114" t="s">
        <v>652</v>
      </c>
      <c r="N114" t="s">
        <v>653</v>
      </c>
      <c r="O114" t="s">
        <v>654</v>
      </c>
    </row>
    <row r="115" spans="1:15" x14ac:dyDescent="0.25">
      <c r="A115" s="256"/>
      <c r="B115" s="58">
        <v>1200</v>
      </c>
      <c r="C115" s="58">
        <v>27</v>
      </c>
      <c r="D115" s="58">
        <v>34</v>
      </c>
      <c r="E115" s="58">
        <v>41</v>
      </c>
      <c r="F115" s="58">
        <v>72</v>
      </c>
      <c r="G115" s="58">
        <v>84</v>
      </c>
      <c r="I115" s="46"/>
      <c r="J115" s="49" t="s">
        <v>655</v>
      </c>
      <c r="K115" s="58" t="s">
        <v>86</v>
      </c>
      <c r="L115" s="58" t="s">
        <v>87</v>
      </c>
      <c r="M115" s="58" t="s">
        <v>614</v>
      </c>
      <c r="N115" s="58" t="s">
        <v>615</v>
      </c>
      <c r="O115" s="49" t="s">
        <v>616</v>
      </c>
    </row>
    <row r="116" spans="1:15" x14ac:dyDescent="0.25">
      <c r="B116" s="58">
        <v>1300</v>
      </c>
      <c r="C116" s="49" t="s">
        <v>645</v>
      </c>
      <c r="D116" s="59">
        <v>244</v>
      </c>
      <c r="E116" s="49" t="s">
        <v>645</v>
      </c>
      <c r="F116" s="49" t="s">
        <v>645</v>
      </c>
      <c r="G116" s="49" t="s">
        <v>645</v>
      </c>
      <c r="J116" s="49">
        <v>700</v>
      </c>
      <c r="K116" s="49">
        <v>1400082</v>
      </c>
      <c r="L116" s="49"/>
      <c r="M116" s="49"/>
      <c r="N116" s="49">
        <v>1400346</v>
      </c>
      <c r="O116" s="49">
        <v>1400280</v>
      </c>
    </row>
    <row r="117" spans="1:15" x14ac:dyDescent="0.25">
      <c r="B117" s="58">
        <v>1400</v>
      </c>
      <c r="C117" s="49" t="s">
        <v>645</v>
      </c>
      <c r="D117" s="59">
        <v>245</v>
      </c>
      <c r="E117" s="49" t="s">
        <v>645</v>
      </c>
      <c r="F117" s="49" t="s">
        <v>645</v>
      </c>
      <c r="G117" s="49" t="s">
        <v>645</v>
      </c>
      <c r="J117" s="49">
        <v>800</v>
      </c>
      <c r="K117" s="49">
        <v>1400083</v>
      </c>
      <c r="L117" s="49"/>
      <c r="M117" s="49"/>
      <c r="N117" s="49">
        <v>1400347</v>
      </c>
      <c r="O117" s="49">
        <v>1400337</v>
      </c>
    </row>
    <row r="118" spans="1:15" x14ac:dyDescent="0.25">
      <c r="B118" s="58"/>
      <c r="C118" s="49" t="s">
        <v>645</v>
      </c>
      <c r="D118" s="49" t="s">
        <v>645</v>
      </c>
      <c r="E118" s="49" t="s">
        <v>645</v>
      </c>
      <c r="F118" s="49" t="s">
        <v>645</v>
      </c>
      <c r="G118" s="49" t="s">
        <v>645</v>
      </c>
      <c r="J118" s="49">
        <v>900</v>
      </c>
      <c r="K118" s="49">
        <v>1400084</v>
      </c>
      <c r="L118" s="49"/>
      <c r="M118" s="49"/>
      <c r="N118" s="49">
        <v>1400348</v>
      </c>
      <c r="O118" s="49">
        <v>1400338</v>
      </c>
    </row>
    <row r="119" spans="1:15" x14ac:dyDescent="0.25">
      <c r="B119" s="58">
        <v>2000</v>
      </c>
      <c r="C119" s="58">
        <v>28</v>
      </c>
      <c r="D119" s="58">
        <v>35</v>
      </c>
      <c r="E119" s="58">
        <v>42</v>
      </c>
      <c r="F119" s="49" t="s">
        <v>645</v>
      </c>
      <c r="G119" s="49" t="s">
        <v>645</v>
      </c>
      <c r="J119" s="49">
        <v>1000</v>
      </c>
      <c r="K119" s="49">
        <v>1400085</v>
      </c>
      <c r="L119" s="49"/>
      <c r="M119" s="49"/>
      <c r="N119" s="49">
        <v>1400349</v>
      </c>
      <c r="O119" s="49">
        <v>1400339</v>
      </c>
    </row>
    <row r="120" spans="1:15" x14ac:dyDescent="0.25">
      <c r="C120" s="49"/>
      <c r="D120" s="49"/>
      <c r="J120" s="49">
        <v>1100</v>
      </c>
      <c r="K120" s="49">
        <v>1400086</v>
      </c>
      <c r="L120" s="49"/>
      <c r="M120" s="49"/>
      <c r="N120" s="49">
        <v>1400350</v>
      </c>
      <c r="O120" s="49">
        <v>1400340</v>
      </c>
    </row>
    <row r="121" spans="1:15" x14ac:dyDescent="0.25">
      <c r="A121" t="s">
        <v>656</v>
      </c>
      <c r="B121" s="58" t="s">
        <v>657</v>
      </c>
      <c r="C121" s="58">
        <v>90</v>
      </c>
      <c r="D121" s="58">
        <v>90</v>
      </c>
      <c r="E121" s="58">
        <v>135</v>
      </c>
      <c r="F121" s="58">
        <v>90</v>
      </c>
      <c r="G121" s="58">
        <v>90</v>
      </c>
      <c r="I121" s="46"/>
      <c r="J121" s="49">
        <v>1200</v>
      </c>
      <c r="K121" s="49">
        <v>1400087</v>
      </c>
      <c r="L121" s="49">
        <v>1400105</v>
      </c>
      <c r="M121" s="49"/>
      <c r="N121" s="49">
        <v>1400351</v>
      </c>
      <c r="O121" s="49">
        <v>1400341</v>
      </c>
    </row>
    <row r="122" spans="1:15" x14ac:dyDescent="0.25">
      <c r="J122" s="49">
        <v>1300</v>
      </c>
      <c r="K122" s="49">
        <v>1400088</v>
      </c>
      <c r="L122" s="49">
        <v>1400106</v>
      </c>
      <c r="M122" s="49"/>
      <c r="N122" s="49">
        <v>1400352</v>
      </c>
      <c r="O122" s="49">
        <v>1400342</v>
      </c>
    </row>
    <row r="123" spans="1:15" x14ac:dyDescent="0.25">
      <c r="J123" s="49">
        <v>1400</v>
      </c>
      <c r="K123" s="49">
        <v>1400089</v>
      </c>
      <c r="L123" s="49">
        <v>1400107</v>
      </c>
      <c r="M123" s="49">
        <v>1400147</v>
      </c>
      <c r="N123" s="49">
        <v>1400353</v>
      </c>
      <c r="O123" s="49">
        <v>1400343</v>
      </c>
    </row>
    <row r="124" spans="1:15" x14ac:dyDescent="0.25">
      <c r="J124" s="49">
        <v>1500</v>
      </c>
      <c r="K124" s="49">
        <v>1400090</v>
      </c>
      <c r="L124" s="49">
        <v>1400108</v>
      </c>
      <c r="M124" s="49">
        <v>1400148</v>
      </c>
      <c r="N124" s="49">
        <v>1400354</v>
      </c>
      <c r="O124" s="49">
        <v>1400344</v>
      </c>
    </row>
    <row r="125" spans="1:15" x14ac:dyDescent="0.25">
      <c r="J125" s="49">
        <v>1600</v>
      </c>
      <c r="K125" s="49">
        <v>1400091</v>
      </c>
      <c r="L125" s="49">
        <v>1400109</v>
      </c>
      <c r="M125" s="49">
        <v>1400149</v>
      </c>
      <c r="N125" s="49">
        <v>1400355</v>
      </c>
      <c r="O125" s="49">
        <v>1400345</v>
      </c>
    </row>
    <row r="126" spans="1:15" x14ac:dyDescent="0.25">
      <c r="J126" s="49">
        <v>1700</v>
      </c>
      <c r="K126" s="49"/>
      <c r="L126" s="49">
        <v>1400110</v>
      </c>
      <c r="M126" s="49">
        <v>1400150</v>
      </c>
      <c r="N126" s="49">
        <v>1400693</v>
      </c>
      <c r="O126" s="49">
        <v>1400346</v>
      </c>
    </row>
    <row r="127" spans="1:15" x14ac:dyDescent="0.25">
      <c r="J127" s="49">
        <v>1800</v>
      </c>
      <c r="K127" s="49"/>
      <c r="L127" s="49">
        <v>1400111</v>
      </c>
      <c r="M127" s="49">
        <v>1400151</v>
      </c>
      <c r="N127" s="49"/>
      <c r="O127" s="49"/>
    </row>
    <row r="128" spans="1:15" x14ac:dyDescent="0.25">
      <c r="J128" s="49">
        <v>1900</v>
      </c>
      <c r="K128" s="49"/>
      <c r="L128" s="49">
        <v>1400112</v>
      </c>
      <c r="M128" s="49">
        <v>1400152</v>
      </c>
      <c r="N128" s="49"/>
      <c r="O128" s="49"/>
    </row>
    <row r="129" spans="1:15" x14ac:dyDescent="0.25">
      <c r="J129" s="49">
        <v>2000</v>
      </c>
      <c r="K129" s="49"/>
      <c r="L129" s="49">
        <v>1400113</v>
      </c>
      <c r="M129" s="49">
        <v>1400153</v>
      </c>
      <c r="N129" s="49"/>
      <c r="O129" s="49"/>
    </row>
    <row r="130" spans="1:15" x14ac:dyDescent="0.25">
      <c r="J130" s="49">
        <v>2100</v>
      </c>
      <c r="K130" s="49"/>
      <c r="L130" s="49">
        <v>1400114</v>
      </c>
      <c r="M130" s="49">
        <v>1400154</v>
      </c>
      <c r="N130" s="49"/>
      <c r="O130" s="49"/>
    </row>
    <row r="131" spans="1:15" x14ac:dyDescent="0.25">
      <c r="A131" t="s">
        <v>658</v>
      </c>
      <c r="B131" s="46" t="s">
        <v>659</v>
      </c>
      <c r="C131" s="46" t="s">
        <v>660</v>
      </c>
      <c r="D131" s="46" t="s">
        <v>661</v>
      </c>
      <c r="J131" s="49">
        <v>2200</v>
      </c>
      <c r="K131" s="49"/>
      <c r="L131" s="49">
        <v>1400115</v>
      </c>
      <c r="M131" s="49">
        <v>1400155</v>
      </c>
      <c r="N131" s="49"/>
      <c r="O131" s="49"/>
    </row>
    <row r="132" spans="1:15" x14ac:dyDescent="0.25">
      <c r="A132" t="s">
        <v>662</v>
      </c>
      <c r="B132" s="46">
        <v>12</v>
      </c>
      <c r="C132" s="46">
        <v>13</v>
      </c>
      <c r="D132" s="46">
        <v>14</v>
      </c>
    </row>
    <row r="134" spans="1:15" x14ac:dyDescent="0.25">
      <c r="A134" t="s">
        <v>663</v>
      </c>
      <c r="B134" s="46" t="s">
        <v>664</v>
      </c>
      <c r="C134" s="46" t="s">
        <v>665</v>
      </c>
      <c r="D134" s="46" t="s">
        <v>666</v>
      </c>
      <c r="J134" s="49" t="s">
        <v>648</v>
      </c>
      <c r="K134" s="49">
        <v>91</v>
      </c>
      <c r="L134" s="49">
        <v>91</v>
      </c>
      <c r="M134" s="49">
        <v>135</v>
      </c>
      <c r="N134" s="49">
        <v>93</v>
      </c>
      <c r="O134" s="49">
        <v>93</v>
      </c>
    </row>
    <row r="135" spans="1:15" x14ac:dyDescent="0.25">
      <c r="A135" t="s">
        <v>667</v>
      </c>
      <c r="B135" s="46">
        <v>9</v>
      </c>
      <c r="C135" s="46">
        <v>12</v>
      </c>
      <c r="D135" s="46">
        <v>82</v>
      </c>
    </row>
    <row r="138" spans="1:15" x14ac:dyDescent="0.25">
      <c r="A138" t="s">
        <v>668</v>
      </c>
      <c r="B138" s="46" t="s">
        <v>669</v>
      </c>
      <c r="C138" s="46" t="s">
        <v>670</v>
      </c>
      <c r="D138" s="46" t="s">
        <v>671</v>
      </c>
    </row>
    <row r="139" spans="1:15" x14ac:dyDescent="0.25">
      <c r="A139" t="s">
        <v>672</v>
      </c>
      <c r="B139" s="122">
        <v>150</v>
      </c>
      <c r="C139" s="122">
        <v>150</v>
      </c>
      <c r="D139" s="46">
        <v>100</v>
      </c>
    </row>
    <row r="140" spans="1:15" x14ac:dyDescent="0.25">
      <c r="B140" s="122">
        <v>200</v>
      </c>
      <c r="C140" s="122">
        <v>200</v>
      </c>
      <c r="D140" s="46">
        <v>150</v>
      </c>
    </row>
    <row r="141" spans="1:15" x14ac:dyDescent="0.25">
      <c r="B141" s="122">
        <v>250</v>
      </c>
      <c r="C141" s="122">
        <v>250</v>
      </c>
      <c r="D141" s="46">
        <v>200</v>
      </c>
    </row>
    <row r="142" spans="1:15" x14ac:dyDescent="0.25">
      <c r="B142" s="122">
        <v>300</v>
      </c>
      <c r="C142" s="122">
        <v>300</v>
      </c>
      <c r="D142" s="46">
        <v>250</v>
      </c>
    </row>
    <row r="143" spans="1:15" x14ac:dyDescent="0.25">
      <c r="B143" s="122">
        <v>350</v>
      </c>
      <c r="C143" s="122">
        <v>350</v>
      </c>
      <c r="D143" s="46">
        <v>300</v>
      </c>
    </row>
    <row r="144" spans="1:15" x14ac:dyDescent="0.25">
      <c r="B144" s="122">
        <v>400</v>
      </c>
      <c r="C144" s="122">
        <v>400</v>
      </c>
      <c r="D144" s="46">
        <v>350</v>
      </c>
    </row>
    <row r="145" spans="2:4" x14ac:dyDescent="0.25">
      <c r="B145" s="122">
        <v>550</v>
      </c>
      <c r="C145" s="122">
        <v>550</v>
      </c>
      <c r="D145" s="46">
        <v>400</v>
      </c>
    </row>
    <row r="146" spans="2:4" x14ac:dyDescent="0.25">
      <c r="B146" s="122">
        <v>800</v>
      </c>
      <c r="C146" s="122">
        <v>800</v>
      </c>
      <c r="D146" s="46">
        <v>550</v>
      </c>
    </row>
    <row r="147" spans="2:4" x14ac:dyDescent="0.25">
      <c r="B147" s="122">
        <v>1050</v>
      </c>
      <c r="C147" s="122">
        <v>1050</v>
      </c>
      <c r="D147" s="46">
        <v>1050</v>
      </c>
    </row>
    <row r="148" spans="2:4" x14ac:dyDescent="0.25">
      <c r="B148" s="122">
        <v>1300</v>
      </c>
      <c r="C148" s="122"/>
      <c r="D148" s="46">
        <v>1300</v>
      </c>
    </row>
    <row r="149" spans="2:4" x14ac:dyDescent="0.25">
      <c r="B149" s="122">
        <v>1550</v>
      </c>
      <c r="C149" s="122"/>
      <c r="D149" s="46">
        <v>1550</v>
      </c>
    </row>
    <row r="150" spans="2:4" x14ac:dyDescent="0.25">
      <c r="B150" s="122">
        <v>1800</v>
      </c>
      <c r="C150" s="122"/>
      <c r="D150" s="46">
        <v>1800</v>
      </c>
    </row>
    <row r="151" spans="2:4" x14ac:dyDescent="0.25">
      <c r="B151" s="122">
        <v>2050</v>
      </c>
      <c r="C151" s="122"/>
      <c r="D151" s="46">
        <v>2050</v>
      </c>
    </row>
    <row r="152" spans="2:4" x14ac:dyDescent="0.25">
      <c r="B152" s="122">
        <v>2300</v>
      </c>
      <c r="C152" s="122"/>
      <c r="D152" s="46">
        <v>2300</v>
      </c>
    </row>
    <row r="153" spans="2:4" x14ac:dyDescent="0.25">
      <c r="B153" s="122">
        <v>2550</v>
      </c>
      <c r="C153" s="122"/>
      <c r="D153" s="46">
        <v>2550</v>
      </c>
    </row>
    <row r="154" spans="2:4" x14ac:dyDescent="0.25">
      <c r="B154" s="122">
        <v>3030</v>
      </c>
      <c r="C154" s="122">
        <v>3030</v>
      </c>
      <c r="D154" s="46">
        <v>2800</v>
      </c>
    </row>
    <row r="155" spans="2:4" x14ac:dyDescent="0.25">
      <c r="B155" s="122">
        <v>6070</v>
      </c>
      <c r="C155" s="122">
        <v>6070</v>
      </c>
      <c r="D155" s="46">
        <v>3050</v>
      </c>
    </row>
    <row r="156" spans="2:4" x14ac:dyDescent="0.25">
      <c r="D156" s="46">
        <v>3300</v>
      </c>
    </row>
    <row r="157" spans="2:4" x14ac:dyDescent="0.25">
      <c r="D157" s="46">
        <v>3500</v>
      </c>
    </row>
    <row r="158" spans="2:4" x14ac:dyDescent="0.25">
      <c r="D158" s="46">
        <v>4050</v>
      </c>
    </row>
    <row r="159" spans="2:4" x14ac:dyDescent="0.25">
      <c r="D159" s="46">
        <v>4300</v>
      </c>
    </row>
    <row r="160" spans="2:4" x14ac:dyDescent="0.25">
      <c r="D160" s="46">
        <v>4550</v>
      </c>
    </row>
    <row r="161" spans="4:4" x14ac:dyDescent="0.25">
      <c r="D161" s="46">
        <v>4800</v>
      </c>
    </row>
    <row r="162" spans="4:4" x14ac:dyDescent="0.25">
      <c r="D162" s="46">
        <v>5050</v>
      </c>
    </row>
    <row r="163" spans="4:4" x14ac:dyDescent="0.25">
      <c r="D163" s="46">
        <v>5300</v>
      </c>
    </row>
    <row r="164" spans="4:4" x14ac:dyDescent="0.25">
      <c r="D164" s="46">
        <v>5550</v>
      </c>
    </row>
    <row r="165" spans="4:4" x14ac:dyDescent="0.25">
      <c r="D165" s="46">
        <v>5800</v>
      </c>
    </row>
    <row r="166" spans="4:4" x14ac:dyDescent="0.25">
      <c r="D166" s="46">
        <v>6070</v>
      </c>
    </row>
  </sheetData>
  <mergeCells count="3">
    <mergeCell ref="B49:B74"/>
    <mergeCell ref="C49:C74"/>
    <mergeCell ref="A114:A115"/>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985FC-B79C-43C0-9D48-3A1D5905B33B}">
  <dimension ref="A1:N54"/>
  <sheetViews>
    <sheetView zoomScaleNormal="100" workbookViewId="0">
      <selection activeCell="F5" sqref="F5"/>
    </sheetView>
  </sheetViews>
  <sheetFormatPr defaultColWidth="8.85546875" defaultRowHeight="15" x14ac:dyDescent="0.25"/>
  <cols>
    <col min="1" max="1" width="13" customWidth="1"/>
    <col min="2" max="2" width="14.28515625" customWidth="1"/>
    <col min="4" max="4" width="13.7109375" customWidth="1"/>
    <col min="6" max="6" width="6.42578125" customWidth="1"/>
    <col min="7" max="7" width="16.5703125" customWidth="1"/>
    <col min="10" max="10" width="21" customWidth="1"/>
    <col min="11" max="11" width="16.140625" customWidth="1"/>
    <col min="13" max="13" width="14" customWidth="1"/>
    <col min="14" max="14" width="8.140625" customWidth="1"/>
    <col min="15" max="15" width="11.42578125" customWidth="1"/>
    <col min="16" max="16" width="18.140625" customWidth="1"/>
  </cols>
  <sheetData>
    <row r="1" spans="1:14" x14ac:dyDescent="0.25">
      <c r="A1" s="107" t="s">
        <v>673</v>
      </c>
      <c r="B1" s="103"/>
      <c r="C1" s="103"/>
      <c r="D1" s="103"/>
      <c r="E1" s="103"/>
      <c r="F1" s="103"/>
      <c r="G1" s="103"/>
      <c r="H1" s="103"/>
      <c r="I1" s="103"/>
      <c r="J1" s="103"/>
      <c r="K1" s="103"/>
      <c r="L1" s="103"/>
      <c r="M1" s="103"/>
      <c r="N1" s="103"/>
    </row>
    <row r="2" spans="1:14" x14ac:dyDescent="0.25">
      <c r="A2" s="113"/>
    </row>
    <row r="3" spans="1:14" ht="12" customHeight="1" x14ac:dyDescent="0.25">
      <c r="A3" s="4"/>
      <c r="K3" t="s">
        <v>674</v>
      </c>
    </row>
    <row r="4" spans="1:14" ht="12" customHeight="1" x14ac:dyDescent="0.25">
      <c r="A4" s="4"/>
      <c r="D4" s="114"/>
      <c r="E4" s="114"/>
      <c r="F4" s="114"/>
      <c r="G4" s="114"/>
      <c r="H4" s="114"/>
      <c r="I4" s="114"/>
      <c r="K4" t="s">
        <v>675</v>
      </c>
      <c r="L4" s="114"/>
    </row>
    <row r="5" spans="1:14" ht="12" customHeight="1" x14ac:dyDescent="0.25">
      <c r="A5" s="4"/>
      <c r="D5" s="114"/>
      <c r="E5" s="114"/>
      <c r="F5" s="114"/>
      <c r="G5" s="114"/>
      <c r="H5" s="114"/>
      <c r="I5" s="114"/>
      <c r="K5" t="s">
        <v>676</v>
      </c>
      <c r="L5" s="114"/>
    </row>
    <row r="6" spans="1:14" x14ac:dyDescent="0.25">
      <c r="A6" s="4"/>
      <c r="K6" s="115" t="s">
        <v>677</v>
      </c>
    </row>
    <row r="7" spans="1:14" x14ac:dyDescent="0.25">
      <c r="A7" s="4" t="s">
        <v>678</v>
      </c>
      <c r="B7" s="109" t="s">
        <v>679</v>
      </c>
      <c r="C7" s="94" t="s">
        <v>680</v>
      </c>
      <c r="D7" t="s">
        <v>681</v>
      </c>
      <c r="G7" s="109" t="s">
        <v>682</v>
      </c>
      <c r="H7" t="s">
        <v>683</v>
      </c>
      <c r="J7" s="61" t="s">
        <v>684</v>
      </c>
      <c r="K7" s="49" t="s">
        <v>685</v>
      </c>
      <c r="M7" s="61" t="s">
        <v>686</v>
      </c>
      <c r="N7" s="52" t="s">
        <v>687</v>
      </c>
    </row>
    <row r="8" spans="1:14" x14ac:dyDescent="0.25">
      <c r="A8" s="49"/>
      <c r="B8" s="104" t="b">
        <v>0</v>
      </c>
      <c r="C8" s="49"/>
      <c r="D8" s="104" t="b">
        <v>0</v>
      </c>
      <c r="G8" s="49"/>
      <c r="H8" s="49"/>
      <c r="J8" s="49"/>
      <c r="K8" s="52"/>
      <c r="M8" s="61"/>
      <c r="N8" s="52"/>
    </row>
    <row r="9" spans="1:14" x14ac:dyDescent="0.25">
      <c r="A9" s="49"/>
      <c r="B9" s="104" t="b">
        <v>0</v>
      </c>
      <c r="C9" s="49"/>
      <c r="D9" s="104" t="b">
        <v>0</v>
      </c>
      <c r="G9" s="49"/>
      <c r="H9" s="49"/>
      <c r="J9" s="49"/>
      <c r="K9" s="52"/>
      <c r="M9" s="61"/>
      <c r="N9" s="52"/>
    </row>
    <row r="10" spans="1:14" x14ac:dyDescent="0.25">
      <c r="A10" s="49"/>
      <c r="B10" s="104" t="b">
        <v>0</v>
      </c>
      <c r="C10" s="49"/>
      <c r="D10" s="104" t="b">
        <v>0</v>
      </c>
      <c r="G10" s="49"/>
      <c r="H10" s="49"/>
      <c r="J10" s="49"/>
      <c r="K10" s="52"/>
      <c r="M10" s="61"/>
      <c r="N10" s="52"/>
    </row>
    <row r="11" spans="1:14" x14ac:dyDescent="0.25">
      <c r="A11" s="49"/>
      <c r="B11" s="104" t="b">
        <v>0</v>
      </c>
      <c r="C11" s="49"/>
      <c r="D11" s="104" t="b">
        <v>0</v>
      </c>
      <c r="G11" s="49"/>
      <c r="H11" s="49"/>
      <c r="J11" s="49"/>
      <c r="K11" s="52"/>
      <c r="M11" s="61"/>
      <c r="N11" s="52"/>
    </row>
    <row r="12" spans="1:14" x14ac:dyDescent="0.25">
      <c r="A12" s="49"/>
      <c r="B12" s="104" t="b">
        <v>0</v>
      </c>
      <c r="C12" s="49"/>
      <c r="D12" s="104" t="b">
        <v>0</v>
      </c>
      <c r="G12" s="49"/>
      <c r="H12" s="49"/>
      <c r="J12" s="49"/>
      <c r="K12" s="52"/>
      <c r="M12" s="61"/>
      <c r="N12" s="52"/>
    </row>
    <row r="13" spans="1:14" x14ac:dyDescent="0.25">
      <c r="A13" s="49"/>
      <c r="B13" s="104" t="b">
        <v>0</v>
      </c>
      <c r="C13" s="49"/>
      <c r="D13" s="104" t="b">
        <v>0</v>
      </c>
      <c r="G13" s="49"/>
      <c r="H13" s="49"/>
      <c r="J13" s="49"/>
      <c r="K13" s="52"/>
      <c r="M13" s="61"/>
      <c r="N13" s="52"/>
    </row>
    <row r="14" spans="1:14" x14ac:dyDescent="0.25">
      <c r="A14" s="49"/>
      <c r="B14" s="104" t="b">
        <v>0</v>
      </c>
      <c r="C14" s="49"/>
      <c r="D14" s="104" t="b">
        <v>0</v>
      </c>
      <c r="G14" s="49"/>
      <c r="H14" s="49"/>
      <c r="J14" s="49"/>
      <c r="K14" s="52"/>
      <c r="M14" s="61"/>
      <c r="N14" s="52"/>
    </row>
    <row r="15" spans="1:14" x14ac:dyDescent="0.25">
      <c r="A15" s="108" t="s">
        <v>688</v>
      </c>
      <c r="B15" s="104" t="b">
        <v>1</v>
      </c>
      <c r="C15" s="49">
        <v>20000</v>
      </c>
      <c r="D15" s="104" t="b">
        <v>1</v>
      </c>
      <c r="G15" s="61" t="s">
        <v>357</v>
      </c>
      <c r="H15" s="49">
        <v>20000</v>
      </c>
      <c r="J15" s="61" t="s">
        <v>689</v>
      </c>
      <c r="K15" s="52">
        <v>3</v>
      </c>
      <c r="M15" s="61" t="s">
        <v>377</v>
      </c>
      <c r="N15" s="52" t="s">
        <v>688</v>
      </c>
    </row>
    <row r="16" spans="1:14" x14ac:dyDescent="0.25">
      <c r="A16" s="108" t="s">
        <v>690</v>
      </c>
      <c r="B16" s="104" t="b">
        <v>0</v>
      </c>
      <c r="C16" s="49">
        <v>15000</v>
      </c>
      <c r="D16" s="104" t="b">
        <v>0</v>
      </c>
      <c r="G16" s="61" t="s">
        <v>359</v>
      </c>
      <c r="H16" s="49">
        <v>15000</v>
      </c>
      <c r="J16" s="61" t="s">
        <v>691</v>
      </c>
      <c r="K16" s="52">
        <v>0</v>
      </c>
      <c r="M16" s="61" t="s">
        <v>380</v>
      </c>
      <c r="N16" s="52" t="s">
        <v>690</v>
      </c>
    </row>
    <row r="17" spans="1:14" x14ac:dyDescent="0.25">
      <c r="A17" s="108" t="s">
        <v>692</v>
      </c>
      <c r="B17" s="104" t="b">
        <v>1</v>
      </c>
      <c r="C17" s="49">
        <v>10000</v>
      </c>
      <c r="D17" s="104" t="b">
        <v>1</v>
      </c>
      <c r="G17" s="61" t="s">
        <v>361</v>
      </c>
      <c r="H17" s="49">
        <v>10000</v>
      </c>
      <c r="J17" s="61" t="s">
        <v>693</v>
      </c>
      <c r="K17" s="52">
        <v>3</v>
      </c>
      <c r="M17" s="61" t="s">
        <v>383</v>
      </c>
      <c r="N17" s="52" t="s">
        <v>692</v>
      </c>
    </row>
    <row r="18" spans="1:14" x14ac:dyDescent="0.25">
      <c r="A18" s="108" t="s">
        <v>694</v>
      </c>
      <c r="B18" s="104" t="b">
        <v>0</v>
      </c>
      <c r="C18" s="49">
        <v>5000</v>
      </c>
      <c r="D18" s="104" t="b">
        <v>1</v>
      </c>
      <c r="G18" s="61" t="s">
        <v>363</v>
      </c>
      <c r="H18" s="49">
        <v>5000</v>
      </c>
      <c r="J18" s="61" t="s">
        <v>695</v>
      </c>
      <c r="K18" s="52">
        <v>2</v>
      </c>
      <c r="M18" s="61" t="s">
        <v>386</v>
      </c>
      <c r="N18" s="52" t="s">
        <v>694</v>
      </c>
    </row>
    <row r="19" spans="1:14" x14ac:dyDescent="0.25">
      <c r="A19" s="108" t="s">
        <v>696</v>
      </c>
      <c r="B19" s="104" t="b">
        <v>1</v>
      </c>
      <c r="C19" s="49">
        <v>0</v>
      </c>
      <c r="D19" s="104" t="b">
        <v>1</v>
      </c>
      <c r="G19" s="61" t="s">
        <v>365</v>
      </c>
      <c r="H19" s="49">
        <v>0</v>
      </c>
      <c r="J19" s="61" t="s">
        <v>697</v>
      </c>
      <c r="K19" s="52">
        <v>3</v>
      </c>
      <c r="M19" s="61" t="s">
        <v>389</v>
      </c>
      <c r="N19" s="52" t="s">
        <v>696</v>
      </c>
    </row>
    <row r="20" spans="1:14" x14ac:dyDescent="0.25">
      <c r="A20" s="108" t="s">
        <v>698</v>
      </c>
      <c r="B20" s="104" t="b">
        <v>1</v>
      </c>
      <c r="C20" s="49">
        <v>-5000</v>
      </c>
      <c r="D20" s="104" t="b">
        <v>1</v>
      </c>
      <c r="G20" s="61" t="s">
        <v>367</v>
      </c>
      <c r="H20" s="49">
        <v>-5000</v>
      </c>
      <c r="J20" s="61" t="s">
        <v>699</v>
      </c>
      <c r="K20" s="52">
        <v>3</v>
      </c>
      <c r="M20" s="61" t="s">
        <v>392</v>
      </c>
      <c r="N20" s="52" t="s">
        <v>698</v>
      </c>
    </row>
    <row r="21" spans="1:14" x14ac:dyDescent="0.25">
      <c r="A21" s="108" t="s">
        <v>700</v>
      </c>
      <c r="B21" s="104" t="b">
        <v>1</v>
      </c>
      <c r="C21" s="49">
        <v>-10000</v>
      </c>
      <c r="D21" s="104" t="b">
        <v>0</v>
      </c>
      <c r="G21" s="61" t="s">
        <v>369</v>
      </c>
      <c r="H21" s="49">
        <v>-10000</v>
      </c>
      <c r="J21" s="61" t="s">
        <v>701</v>
      </c>
      <c r="K21" s="52">
        <v>1</v>
      </c>
      <c r="M21" s="61" t="s">
        <v>395</v>
      </c>
      <c r="N21" s="52" t="s">
        <v>700</v>
      </c>
    </row>
    <row r="22" spans="1:14" x14ac:dyDescent="0.25">
      <c r="A22" s="4"/>
    </row>
    <row r="23" spans="1:14" ht="15.75" thickBot="1" x14ac:dyDescent="0.3">
      <c r="A23" s="105"/>
      <c r="B23" s="106"/>
      <c r="C23" s="106"/>
      <c r="D23" s="106"/>
      <c r="E23" s="106"/>
      <c r="F23" s="106"/>
      <c r="G23" s="106"/>
      <c r="H23" s="106"/>
      <c r="I23" s="106"/>
      <c r="J23" s="106"/>
      <c r="K23" s="106"/>
      <c r="L23" s="106"/>
      <c r="M23" s="106"/>
      <c r="N23" s="106"/>
    </row>
    <row r="24" spans="1:14" x14ac:dyDescent="0.25">
      <c r="A24" s="4"/>
    </row>
    <row r="25" spans="1:14" ht="15.75" thickBot="1" x14ac:dyDescent="0.3"/>
    <row r="26" spans="1:14" x14ac:dyDescent="0.25">
      <c r="A26" s="107" t="s">
        <v>702</v>
      </c>
      <c r="B26" s="103"/>
      <c r="C26" s="103"/>
      <c r="D26" s="103"/>
      <c r="E26" s="103"/>
      <c r="F26" s="103"/>
      <c r="G26" s="103"/>
      <c r="H26" s="103"/>
      <c r="I26" s="103"/>
    </row>
    <row r="27" spans="1:14" x14ac:dyDescent="0.25">
      <c r="A27" s="4" t="s">
        <v>703</v>
      </c>
    </row>
    <row r="28" spans="1:14" x14ac:dyDescent="0.25">
      <c r="A28" s="4" t="s">
        <v>704</v>
      </c>
    </row>
    <row r="29" spans="1:14" x14ac:dyDescent="0.25">
      <c r="A29" s="4" t="s">
        <v>705</v>
      </c>
    </row>
    <row r="30" spans="1:14" x14ac:dyDescent="0.25">
      <c r="A30" s="4"/>
    </row>
    <row r="31" spans="1:14" x14ac:dyDescent="0.25">
      <c r="A31" s="113" t="s">
        <v>706</v>
      </c>
    </row>
    <row r="32" spans="1:14" x14ac:dyDescent="0.25">
      <c r="A32" s="110" t="s">
        <v>146</v>
      </c>
      <c r="D32" t="s">
        <v>707</v>
      </c>
      <c r="E32" s="41" t="s">
        <v>708</v>
      </c>
    </row>
    <row r="33" spans="1:5" x14ac:dyDescent="0.25">
      <c r="A33" s="110" t="s">
        <v>149</v>
      </c>
      <c r="D33" t="s">
        <v>707</v>
      </c>
      <c r="E33" s="41" t="s">
        <v>709</v>
      </c>
    </row>
    <row r="34" spans="1:5" x14ac:dyDescent="0.25">
      <c r="A34" s="110" t="s">
        <v>158</v>
      </c>
      <c r="D34" t="s">
        <v>707</v>
      </c>
      <c r="E34" s="41" t="s">
        <v>710</v>
      </c>
    </row>
    <row r="35" spans="1:5" x14ac:dyDescent="0.25">
      <c r="A35" s="11" t="s">
        <v>711</v>
      </c>
    </row>
    <row r="36" spans="1:5" x14ac:dyDescent="0.25">
      <c r="A36" s="110" t="s">
        <v>146</v>
      </c>
      <c r="D36" t="s">
        <v>707</v>
      </c>
      <c r="E36" s="41" t="s">
        <v>712</v>
      </c>
    </row>
    <row r="37" spans="1:5" x14ac:dyDescent="0.25">
      <c r="A37" s="110" t="s">
        <v>149</v>
      </c>
      <c r="D37" t="s">
        <v>707</v>
      </c>
      <c r="E37" s="41" t="s">
        <v>713</v>
      </c>
    </row>
    <row r="38" spans="1:5" x14ac:dyDescent="0.25">
      <c r="A38" s="110" t="s">
        <v>158</v>
      </c>
      <c r="D38" t="s">
        <v>707</v>
      </c>
      <c r="E38" s="41" t="s">
        <v>714</v>
      </c>
    </row>
    <row r="39" spans="1:5" x14ac:dyDescent="0.25">
      <c r="A39" s="11" t="s">
        <v>715</v>
      </c>
    </row>
    <row r="40" spans="1:5" x14ac:dyDescent="0.25">
      <c r="A40" s="110" t="s">
        <v>146</v>
      </c>
      <c r="D40" t="s">
        <v>707</v>
      </c>
      <c r="E40" s="41" t="s">
        <v>716</v>
      </c>
    </row>
    <row r="41" spans="1:5" x14ac:dyDescent="0.25">
      <c r="A41" s="110" t="s">
        <v>149</v>
      </c>
      <c r="D41" t="s">
        <v>707</v>
      </c>
      <c r="E41" s="41" t="s">
        <v>717</v>
      </c>
    </row>
    <row r="42" spans="1:5" ht="15.75" thickBot="1" x14ac:dyDescent="0.3">
      <c r="A42" s="111" t="s">
        <v>158</v>
      </c>
      <c r="B42" s="106"/>
      <c r="C42" s="106"/>
      <c r="D42" s="106" t="s">
        <v>707</v>
      </c>
      <c r="E42" s="112" t="s">
        <v>718</v>
      </c>
    </row>
    <row r="47" spans="1:5" ht="15.75" thickBot="1" x14ac:dyDescent="0.3"/>
    <row r="48" spans="1:5" x14ac:dyDescent="0.25">
      <c r="A48" s="107" t="s">
        <v>719</v>
      </c>
      <c r="B48" s="103"/>
      <c r="C48" s="103"/>
      <c r="D48" s="103"/>
      <c r="E48" s="103"/>
    </row>
    <row r="49" spans="1:13" x14ac:dyDescent="0.25">
      <c r="A49" s="4" t="s">
        <v>720</v>
      </c>
    </row>
    <row r="50" spans="1:13" x14ac:dyDescent="0.25">
      <c r="A50" s="4" t="s">
        <v>721</v>
      </c>
    </row>
    <row r="51" spans="1:13" ht="15.75" thickBot="1" x14ac:dyDescent="0.3">
      <c r="A51" s="105"/>
      <c r="B51" s="106"/>
      <c r="C51" s="106"/>
      <c r="D51" s="106"/>
      <c r="E51" s="106"/>
      <c r="F51" s="106"/>
      <c r="G51" s="106"/>
      <c r="H51" s="106"/>
      <c r="I51" s="106"/>
    </row>
    <row r="53" spans="1:13" ht="15.75" thickBot="1" x14ac:dyDescent="0.3"/>
    <row r="54" spans="1:13" ht="15.75" thickBot="1" x14ac:dyDescent="0.3">
      <c r="A54" s="257" t="s">
        <v>722</v>
      </c>
      <c r="B54" s="258"/>
      <c r="C54" s="258"/>
      <c r="D54" s="258"/>
      <c r="E54" s="258"/>
      <c r="F54" s="258"/>
      <c r="G54" s="258"/>
      <c r="H54" s="258"/>
      <c r="I54" s="258"/>
      <c r="J54" s="258"/>
      <c r="K54" s="258"/>
      <c r="L54" s="258"/>
      <c r="M54" s="259"/>
    </row>
  </sheetData>
  <mergeCells count="1">
    <mergeCell ref="A54:M5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6:E10"/>
  <sheetViews>
    <sheetView workbookViewId="0">
      <selection activeCell="E9" sqref="E9"/>
    </sheetView>
  </sheetViews>
  <sheetFormatPr defaultColWidth="11.42578125" defaultRowHeight="15" x14ac:dyDescent="0.25"/>
  <sheetData>
    <row r="6" spans="3:5" x14ac:dyDescent="0.25">
      <c r="C6" t="s">
        <v>40</v>
      </c>
      <c r="E6" t="s">
        <v>723</v>
      </c>
    </row>
    <row r="7" spans="3:5" x14ac:dyDescent="0.25">
      <c r="C7">
        <v>1</v>
      </c>
      <c r="E7" t="s">
        <v>724</v>
      </c>
    </row>
    <row r="8" spans="3:5" x14ac:dyDescent="0.25">
      <c r="C8">
        <v>1.6</v>
      </c>
      <c r="E8" t="s">
        <v>725</v>
      </c>
    </row>
    <row r="9" spans="3:5" x14ac:dyDescent="0.25">
      <c r="C9">
        <v>2</v>
      </c>
    </row>
    <row r="10" spans="3:5" x14ac:dyDescent="0.25">
      <c r="C10">
        <v>2.5</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E8F508E751D3429164943D103A7963" ma:contentTypeVersion="16" ma:contentTypeDescription="Create a new document." ma:contentTypeScope="" ma:versionID="fc22c4c71b7afe9c72499f9d51046499">
  <xsd:schema xmlns:xsd="http://www.w3.org/2001/XMLSchema" xmlns:xs="http://www.w3.org/2001/XMLSchema" xmlns:p="http://schemas.microsoft.com/office/2006/metadata/properties" xmlns:ns2="1b2dc621-f197-4dd3-a5d9-efd12dbc2778" xmlns:ns3="88e4fd0c-1407-43b4-b530-87d23d1dbf6b" targetNamespace="http://schemas.microsoft.com/office/2006/metadata/properties" ma:root="true" ma:fieldsID="92b10fac0a681f03d5640564d98db6a4" ns2:_="" ns3:_="">
    <xsd:import namespace="1b2dc621-f197-4dd3-a5d9-efd12dbc2778"/>
    <xsd:import namespace="88e4fd0c-1407-43b4-b530-87d23d1dbf6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BasriUgurAkali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2dc621-f197-4dd3-a5d9-efd12dbc27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3fa978b-cdad-45a5-877c-f631a0e6dfe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BasriUgurAkalin" ma:index="21" nillable="true" ma:displayName="Basri Ugur Akalin" ma:format="DateOnly" ma:internalName="BasriUgurAkalin">
      <xsd:simpleType>
        <xsd:restriction base="dms:DateTime"/>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8e4fd0c-1407-43b4-b530-87d23d1dbf6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85f88f9-50b1-49d4-9148-db1419bb6562}" ma:internalName="TaxCatchAll" ma:showField="CatchAllData" ma:web="88e4fd0c-1407-43b4-b530-87d23d1dbf6b">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b2dc621-f197-4dd3-a5d9-efd12dbc2778">
      <Terms xmlns="http://schemas.microsoft.com/office/infopath/2007/PartnerControls"/>
    </lcf76f155ced4ddcb4097134ff3c332f>
    <TaxCatchAll xmlns="88e4fd0c-1407-43b4-b530-87d23d1dbf6b" xsi:nil="true"/>
    <BasriUgurAkalin xmlns="1b2dc621-f197-4dd3-a5d9-efd12dbc277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5FB304-9FC1-49D6-9DAA-0FA6B06B7D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2dc621-f197-4dd3-a5d9-efd12dbc2778"/>
    <ds:schemaRef ds:uri="88e4fd0c-1407-43b4-b530-87d23d1dbf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4B644D-9B65-4993-8092-9D5D024155AF}">
  <ds:schemaRefs>
    <ds:schemaRef ds:uri="http://www.w3.org/XML/1998/namespace"/>
    <ds:schemaRef ds:uri="http://purl.org/dc/elements/1.1/"/>
    <ds:schemaRef ds:uri="http://purl.org/dc/dcmitype/"/>
    <ds:schemaRef ds:uri="http://schemas.microsoft.com/office/infopath/2007/PartnerControls"/>
    <ds:schemaRef ds:uri="http://purl.org/dc/terms/"/>
    <ds:schemaRef ds:uri="88e4fd0c-1407-43b4-b530-87d23d1dbf6b"/>
    <ds:schemaRef ds:uri="http://schemas.microsoft.com/office/2006/metadata/properties"/>
    <ds:schemaRef ds:uri="http://schemas.microsoft.com/office/2006/documentManagement/types"/>
    <ds:schemaRef ds:uri="http://schemas.openxmlformats.org/package/2006/metadata/core-properties"/>
    <ds:schemaRef ds:uri="1b2dc621-f197-4dd3-a5d9-efd12dbc2778"/>
  </ds:schemaRefs>
</ds:datastoreItem>
</file>

<file path=customXml/itemProps3.xml><?xml version="1.0" encoding="utf-8"?>
<ds:datastoreItem xmlns:ds="http://schemas.openxmlformats.org/officeDocument/2006/customXml" ds:itemID="{D4CCC6F9-E8E3-4FAE-BB9C-6FD9995490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VT Standard configs</vt:lpstr>
      <vt:lpstr>revision</vt:lpstr>
      <vt:lpstr>selection</vt:lpstr>
      <vt:lpstr>info</vt:lpstr>
      <vt:lpstr>Tabelle1</vt:lpstr>
      <vt:lpstr>'VT Standard configs'!Print_Area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 Hetfleisch</dc:creator>
  <cp:keywords/>
  <dc:description/>
  <cp:lastModifiedBy>Ruben Koopman</cp:lastModifiedBy>
  <cp:revision/>
  <dcterms:created xsi:type="dcterms:W3CDTF">2015-11-02T13:46:23Z</dcterms:created>
  <dcterms:modified xsi:type="dcterms:W3CDTF">2026-04-16T13:13:23Z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0x010100AAE8F508E751D3429164943D103A7963</vt:lpwstr>
  </property>
  <property fmtid="{D5CDD505-2E9C-101B-9397-08002B2CF9AE}" pid="4" name="BHoM_Guid">
    <vt:lpwstr>9293c846-5fad-44d5-9dae-0c6f82a27b8c</vt:lpwstr>
  </property>
</Properties>
</file>